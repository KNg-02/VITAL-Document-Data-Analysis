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ith\Downloads\unimportant\Major Project\DDoc Inventory\"/>
    </mc:Choice>
  </mc:AlternateContent>
  <xr:revisionPtr revIDLastSave="0" documentId="13_ncr:1_{3E1ADDBC-47DA-4356-BD13-14E194D11636}" xr6:coauthVersionLast="47" xr6:coauthVersionMax="47" xr10:uidLastSave="{00000000-0000-0000-0000-000000000000}"/>
  <bookViews>
    <workbookView xWindow="-108" yWindow="-108" windowWidth="23256" windowHeight="12576" firstSheet="1" activeTab="3" xr2:uid="{F5FEDFCC-163A-4CED-81AC-0C555AA28674}"/>
  </bookViews>
  <sheets>
    <sheet name="Test_Sheet" sheetId="1" state="hidden" r:id="rId1"/>
    <sheet name="DDoc Number" sheetId="3" r:id="rId2"/>
    <sheet name="DDoc Number Order" sheetId="10" r:id="rId3"/>
    <sheet name="Data To Use" sheetId="8" r:id="rId4"/>
    <sheet name="Data To Use Order" sheetId="9" r:id="rId5"/>
  </sheets>
  <externalReferences>
    <externalReference r:id="rId6"/>
  </externalReferences>
  <definedNames>
    <definedName name="_xlnm._FilterDatabase" localSheetId="3" hidden="1">'Data To Use'!$A$1:$F$2088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92" i="8" l="1"/>
  <c r="D1872" i="8"/>
  <c r="D1871" i="8"/>
  <c r="D1870" i="8"/>
  <c r="D1869" i="8"/>
  <c r="D1868" i="8"/>
  <c r="C1872" i="8"/>
  <c r="C1871" i="8"/>
  <c r="C1870" i="8"/>
  <c r="C1869" i="8"/>
  <c r="C1868" i="8"/>
  <c r="D1838" i="8"/>
  <c r="D1837" i="8"/>
  <c r="D1836" i="8"/>
  <c r="D1835" i="8"/>
  <c r="C1838" i="8"/>
  <c r="C1837" i="8"/>
  <c r="C1836" i="8"/>
  <c r="C183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D992" i="8"/>
  <c r="D987" i="8"/>
  <c r="D980" i="8"/>
  <c r="D976" i="8"/>
  <c r="D975" i="8"/>
  <c r="D974" i="8"/>
  <c r="D973" i="8"/>
  <c r="D972" i="8"/>
  <c r="D971" i="8"/>
  <c r="D970" i="8"/>
  <c r="D969" i="8"/>
  <c r="D968" i="8"/>
  <c r="D967" i="8"/>
  <c r="D963" i="8"/>
  <c r="D962" i="8"/>
  <c r="D960" i="8"/>
  <c r="D948" i="8"/>
  <c r="C992" i="8"/>
  <c r="B992" i="8"/>
  <c r="C987" i="8"/>
  <c r="B987" i="8"/>
  <c r="C980" i="8"/>
  <c r="B980" i="8"/>
  <c r="C976" i="8"/>
  <c r="B976" i="8"/>
  <c r="C975" i="8"/>
  <c r="B975" i="8"/>
  <c r="C974" i="8"/>
  <c r="B974" i="8"/>
  <c r="C973" i="8"/>
  <c r="B973" i="8"/>
  <c r="C972" i="8"/>
  <c r="B972" i="8"/>
  <c r="C971" i="8"/>
  <c r="B971" i="8"/>
  <c r="C970" i="8"/>
  <c r="B970" i="8"/>
  <c r="C969" i="8"/>
  <c r="B969" i="8"/>
  <c r="C968" i="8"/>
  <c r="B968" i="8"/>
  <c r="C967" i="8"/>
  <c r="B967" i="8"/>
  <c r="C963" i="8"/>
  <c r="B963" i="8"/>
  <c r="C962" i="8"/>
  <c r="B962" i="8"/>
  <c r="C960" i="8"/>
  <c r="B960" i="8"/>
  <c r="C948" i="8"/>
  <c r="B948" i="8"/>
  <c r="B35" i="9" l="1"/>
  <c r="B34" i="9" s="1"/>
  <c r="B33" i="9" s="1"/>
  <c r="B32" i="9" s="1"/>
  <c r="B31" i="9" s="1"/>
  <c r="B30" i="9" s="1"/>
  <c r="B29" i="9" s="1"/>
  <c r="B28" i="9" s="1"/>
  <c r="B27" i="9" s="1"/>
  <c r="B26" i="9" s="1"/>
  <c r="B25" i="9" s="1"/>
  <c r="B24" i="9" s="1"/>
  <c r="B23" i="9" s="1"/>
  <c r="B22" i="9" s="1"/>
  <c r="B21" i="9" s="1"/>
  <c r="B20" i="9" s="1"/>
  <c r="B19" i="9" s="1"/>
  <c r="B18" i="9" s="1"/>
  <c r="B17" i="9" s="1"/>
  <c r="B16" i="9" s="1"/>
  <c r="B15" i="9" s="1"/>
  <c r="B14" i="9" s="1"/>
  <c r="B13" i="9" s="1"/>
  <c r="B12" i="9" s="1"/>
  <c r="B11" i="9" s="1"/>
  <c r="B10" i="9" s="1"/>
  <c r="B9" i="9" s="1"/>
  <c r="B8" i="9" s="1"/>
  <c r="B7" i="9" s="1"/>
  <c r="B6" i="9" s="1"/>
  <c r="B5" i="9" s="1"/>
  <c r="B4" i="9" s="1"/>
  <c r="B3" i="9" s="1"/>
  <c r="B2" i="9" s="1"/>
  <c r="B36" i="9"/>
  <c r="B38" i="9"/>
  <c r="B37" i="9" s="1"/>
  <c r="H9" i="1" l="1"/>
</calcChain>
</file>

<file path=xl/sharedStrings.xml><?xml version="1.0" encoding="utf-8"?>
<sst xmlns="http://schemas.openxmlformats.org/spreadsheetml/2006/main" count="4337" uniqueCount="66">
  <si>
    <t>Month</t>
  </si>
  <si>
    <t>Date</t>
  </si>
  <si>
    <t>Batch</t>
  </si>
  <si>
    <t>Received</t>
  </si>
  <si>
    <t>Digitised</t>
  </si>
  <si>
    <t>Sample Checked</t>
  </si>
  <si>
    <t>Returned</t>
  </si>
  <si>
    <t>Proj.Pfile Volume</t>
  </si>
  <si>
    <t>Unspecified</t>
  </si>
  <si>
    <t>Datasheet</t>
  </si>
  <si>
    <t>Category Type (If split into 2)</t>
  </si>
  <si>
    <t>N/A</t>
  </si>
  <si>
    <t>Yes</t>
  </si>
  <si>
    <t>Sheet Name</t>
  </si>
  <si>
    <t>Data_Table</t>
  </si>
  <si>
    <t>Current Inventory</t>
  </si>
  <si>
    <t>Data Table Category</t>
  </si>
  <si>
    <t>None</t>
  </si>
  <si>
    <t>Others</t>
  </si>
  <si>
    <t>Order</t>
  </si>
  <si>
    <t>Vendor V</t>
  </si>
  <si>
    <t>Vendor D</t>
  </si>
  <si>
    <t>Vendor S</t>
  </si>
  <si>
    <t xml:space="preserve"> </t>
  </si>
  <si>
    <t>Vendor P</t>
  </si>
  <si>
    <t>Vendor C</t>
  </si>
  <si>
    <t xml:space="preserve"> 30-Dec-20</t>
  </si>
  <si>
    <t xml:space="preserve"> 04-Jan-21</t>
  </si>
  <si>
    <t>Agency 36</t>
  </si>
  <si>
    <t>Agency 35</t>
  </si>
  <si>
    <t>Agency 34</t>
  </si>
  <si>
    <t>Agency 33</t>
  </si>
  <si>
    <t>Agency 32</t>
  </si>
  <si>
    <t>Agency 31</t>
  </si>
  <si>
    <t>Agency 30</t>
  </si>
  <si>
    <t>Agency 29</t>
  </si>
  <si>
    <t>Agency 28</t>
  </si>
  <si>
    <t>Agency 27</t>
  </si>
  <si>
    <t>Agency 26</t>
  </si>
  <si>
    <t>Agency 25</t>
  </si>
  <si>
    <t>Agency 24</t>
  </si>
  <si>
    <t>Agency 23</t>
  </si>
  <si>
    <t>Agency 22</t>
  </si>
  <si>
    <t>Agency 21</t>
  </si>
  <si>
    <t>Agency 20</t>
  </si>
  <si>
    <t>Agency 19</t>
  </si>
  <si>
    <t>Agency 18</t>
  </si>
  <si>
    <t>Agency 17</t>
  </si>
  <si>
    <t>Agency 16</t>
  </si>
  <si>
    <t>Agency 15</t>
  </si>
  <si>
    <t>Agency 14</t>
  </si>
  <si>
    <t>Agency 13</t>
  </si>
  <si>
    <t>Agency 12</t>
  </si>
  <si>
    <t>Agency 11</t>
  </si>
  <si>
    <t>Agency 10</t>
  </si>
  <si>
    <t>Agency 9</t>
  </si>
  <si>
    <t>Agency 8</t>
  </si>
  <si>
    <t>Agency 7</t>
  </si>
  <si>
    <t>Agency 6</t>
  </si>
  <si>
    <t>Agency 5</t>
  </si>
  <si>
    <t>Agency 4</t>
  </si>
  <si>
    <t>Agency 3</t>
  </si>
  <si>
    <t>Agency 2</t>
  </si>
  <si>
    <t>Agency 1</t>
  </si>
  <si>
    <t>Agency 0</t>
  </si>
  <si>
    <t>DDoc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</si>
</sst>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809]d\ mmmm\ yyyy;@"/>
  </numFmts>
  <fonts count="10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12"/>
      <name val="Calibri"/>
      <family val="2"/>
    </font>
    <font>
      <sz val="12"/>
      <color rgb="FF000000"/>
      <name val="Calibri"/>
      <family val="2"/>
    </font>
    <font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15" fontId="1" fillId="2" borderId="1" xfId="0" applyNumberFormat="1" applyFont="1" applyFill="1" applyBorder="1" applyAlignment="1">
      <alignment horizontal="center" vertical="center"/>
    </xf>
    <xf numFmtId="15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7" fontId="0" fillId="0" borderId="0" xfId="0" applyNumberFormat="1"/>
    <xf numFmtId="15" fontId="2" fillId="0" borderId="2" xfId="0" applyNumberFormat="1" applyFont="1" applyBorder="1" applyAlignment="1">
      <alignment vertical="center" wrapText="1"/>
    </xf>
    <xf numFmtId="15" fontId="2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7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17" fontId="2" fillId="0" borderId="0" xfId="0" applyNumberFormat="1" applyFont="1" applyAlignment="1">
      <alignment horizontal="center" vertical="center" wrapText="1"/>
    </xf>
    <xf numFmtId="0" fontId="2" fillId="0" borderId="2" xfId="0" applyFont="1" applyBorder="1" applyAlignment="1">
      <alignment vertical="center"/>
    </xf>
    <xf numFmtId="3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4" xfId="0" applyFont="1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15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5" fontId="2" fillId="0" borderId="0" xfId="0" applyNumberFormat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2" fillId="0" borderId="3" xfId="0" applyFont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/>
    </xf>
    <xf numFmtId="0" fontId="2" fillId="9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14" fontId="0" fillId="0" borderId="2" xfId="0" applyNumberFormat="1" applyBorder="1" applyAlignment="1">
      <alignment vertical="center"/>
    </xf>
    <xf numFmtId="0" fontId="2" fillId="0" borderId="6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0" fontId="0" fillId="9" borderId="1" xfId="0" applyFill="1" applyBorder="1" applyAlignment="1">
      <alignment horizontal="center" vertical="center"/>
    </xf>
    <xf numFmtId="14" fontId="9" fillId="0" borderId="2" xfId="0" applyNumberFormat="1" applyFont="1" applyBorder="1" applyAlignment="1">
      <alignment vertical="center"/>
    </xf>
    <xf numFmtId="14" fontId="9" fillId="0" borderId="2" xfId="0" applyNumberFormat="1" applyFont="1" applyBorder="1" applyAlignment="1">
      <alignment vertical="center" wrapText="1"/>
    </xf>
    <xf numFmtId="14" fontId="4" fillId="0" borderId="1" xfId="0" applyNumberFormat="1" applyFont="1" applyBorder="1" applyAlignment="1">
      <alignment horizontal="center" vertical="center"/>
    </xf>
    <xf numFmtId="14" fontId="0" fillId="0" borderId="7" xfId="0" applyNumberFormat="1" applyBorder="1" applyAlignment="1">
      <alignment vertical="center"/>
    </xf>
    <xf numFmtId="15" fontId="2" fillId="0" borderId="8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15" fontId="0" fillId="0" borderId="1" xfId="0" applyNumberFormat="1" applyBorder="1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15" fontId="0" fillId="0" borderId="1" xfId="0" applyNumberFormat="1" applyBorder="1" applyAlignment="1">
      <alignment horizontal="center" vertical="center"/>
    </xf>
    <xf numFmtId="15" fontId="3" fillId="0" borderId="1" xfId="0" applyNumberFormat="1" applyFont="1" applyBorder="1" applyAlignment="1">
      <alignment horizontal="center" vertical="center"/>
    </xf>
    <xf numFmtId="15" fontId="2" fillId="0" borderId="1" xfId="0" applyNumberFormat="1" applyFont="1" applyBorder="1" applyAlignment="1">
      <alignment vertical="center" wrapText="1"/>
    </xf>
    <xf numFmtId="15" fontId="2" fillId="0" borderId="0" xfId="0" applyNumberFormat="1" applyFont="1" applyAlignment="1">
      <alignment vertical="center" wrapText="1"/>
    </xf>
    <xf numFmtId="15" fontId="0" fillId="0" borderId="0" xfId="0" applyNumberFormat="1"/>
    <xf numFmtId="15" fontId="0" fillId="0" borderId="0" xfId="0" applyNumberFormat="1" applyAlignment="1">
      <alignment wrapText="1"/>
    </xf>
    <xf numFmtId="15" fontId="0" fillId="0" borderId="0" xfId="0" applyNumberFormat="1" applyAlignment="1">
      <alignment horizontal="center"/>
    </xf>
    <xf numFmtId="15" fontId="2" fillId="0" borderId="1" xfId="0" applyNumberFormat="1" applyFont="1" applyBorder="1" applyAlignment="1">
      <alignment vertical="center"/>
    </xf>
    <xf numFmtId="15" fontId="2" fillId="0" borderId="2" xfId="0" applyNumberFormat="1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4" fontId="2" fillId="0" borderId="2" xfId="0" applyNumberFormat="1" applyFont="1" applyBorder="1" applyAlignment="1">
      <alignment vertical="center"/>
    </xf>
    <xf numFmtId="14" fontId="2" fillId="0" borderId="1" xfId="0" applyNumberFormat="1" applyFont="1" applyBorder="1" applyAlignment="1">
      <alignment vertical="center"/>
    </xf>
    <xf numFmtId="15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 applyAlignment="1">
      <alignment horizontal="center"/>
    </xf>
    <xf numFmtId="15" fontId="2" fillId="0" borderId="0" xfId="0" applyNumberFormat="1" applyFont="1" applyAlignment="1">
      <alignment horizontal="center" vertical="center"/>
    </xf>
    <xf numFmtId="15" fontId="6" fillId="0" borderId="0" xfId="0" applyNumberFormat="1" applyFont="1" applyAlignment="1">
      <alignment horizontal="center" vertical="center" wrapText="1"/>
    </xf>
    <xf numFmtId="15" fontId="7" fillId="0" borderId="0" xfId="0" applyNumberFormat="1" applyFont="1" applyAlignment="1">
      <alignment horizontal="center" vertical="center" wrapText="1"/>
    </xf>
    <xf numFmtId="15" fontId="8" fillId="0" borderId="0" xfId="0" applyNumberFormat="1" applyFont="1" applyAlignment="1">
      <alignment horizontal="center" vertical="center" wrapText="1"/>
    </xf>
    <xf numFmtId="0" fontId="2" fillId="0" borderId="0" xfId="0" applyFont="1"/>
    <xf numFmtId="14" fontId="2" fillId="0" borderId="1" xfId="0" applyNumberFormat="1" applyFont="1" applyBorder="1" applyAlignment="1">
      <alignment vertical="center" wrapText="1"/>
    </xf>
    <xf numFmtId="0" fontId="2" fillId="0" borderId="1" xfId="0" applyFont="1" applyBorder="1"/>
    <xf numFmtId="15" fontId="2" fillId="0" borderId="6" xfId="0" applyNumberFormat="1" applyFont="1" applyBorder="1" applyAlignment="1">
      <alignment horizontal="center" vertical="center" wrapText="1"/>
    </xf>
    <xf numFmtId="15" fontId="2" fillId="0" borderId="0" xfId="0" applyNumberFormat="1" applyFont="1" applyAlignment="1">
      <alignment horizontal="center" vertical="top" wrapText="1"/>
    </xf>
    <xf numFmtId="15" fontId="0" fillId="0" borderId="0" xfId="0" applyNumberForma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VITALNXKK\Documents\Power%20BI%20Projects\Edited_File\DUPE_PFiles%20Inventory%20Count%20(w%20Drawdown).xlsx" TargetMode="External"/><Relationship Id="rId1" Type="http://schemas.openxmlformats.org/officeDocument/2006/relationships/externalLinkPath" Target="/Users/VITALNXKK/Documents/Power%20BI%20Projects/Edited_File/DUPE_PFiles%20Inventory%20Count%20(w%20Drawdown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 '18 Inventory"/>
      <sheetName val="Sept '18 Inventory"/>
      <sheetName val="Oct '18 Inventory"/>
      <sheetName val="Nov '18 Inventory"/>
      <sheetName val="Dec '18 Inventory"/>
      <sheetName val="Jan '19 Inventory"/>
      <sheetName val="Feb '19 Inventory"/>
      <sheetName val="March '19 Inventory"/>
      <sheetName val="Apr '19 Inventory"/>
      <sheetName val="May '19 Inventory"/>
      <sheetName val="June '19 Inventory"/>
      <sheetName val="July '19 Inventory"/>
      <sheetName val="Aug '19 Inventory"/>
      <sheetName val="Sep '19 Inventory"/>
      <sheetName val="Oct' 19 Inventory"/>
      <sheetName val="Nov' Inventory"/>
      <sheetName val="Dec' Inventory"/>
      <sheetName val="Jan 2020 Inventory"/>
      <sheetName val="Feb 2020 Inventory"/>
      <sheetName val="Mar 2020 Inventory "/>
      <sheetName val="Guide"/>
      <sheetName val="PIVOT TABLE (HERE)"/>
      <sheetName val="Sheet3"/>
      <sheetName val="Pivot Table for Weekly Reportin"/>
      <sheetName val="Drawdown Status"/>
      <sheetName val="Current Inventory"/>
      <sheetName val="36. FJC_SUPCOURT"/>
      <sheetName val="35. PMO COMMS GRP"/>
      <sheetName val="34. IRAS"/>
      <sheetName val="33. MCCY"/>
      <sheetName val="23. MOF"/>
      <sheetName val="32. NEA"/>
      <sheetName val="31. PUB"/>
      <sheetName val="30. MTI"/>
      <sheetName val="29. DOS"/>
      <sheetName val="28. NSCS"/>
      <sheetName val="27. MND"/>
      <sheetName val="26. CPIB"/>
      <sheetName val="25. ELD"/>
      <sheetName val="24. AGD"/>
      <sheetName val="22. CNB"/>
      <sheetName val="21. ICA"/>
      <sheetName val="20. SCDF"/>
      <sheetName val="19. PMO CG&amp;SG"/>
      <sheetName val="18. MOM"/>
      <sheetName val="17. AGO"/>
      <sheetName val="16. MFA"/>
      <sheetName val="15. MINLAW"/>
      <sheetName val="14. SPS"/>
      <sheetName val="13.MOH"/>
      <sheetName val="12.NYC"/>
      <sheetName val="11. MHQ"/>
      <sheetName val="10.PSD"/>
      <sheetName val="9.State Courts"/>
      <sheetName val="8.AGC"/>
      <sheetName val="7.MCI-CSA"/>
      <sheetName val="6.PGO"/>
      <sheetName val="5.NRF"/>
      <sheetName val="4.MOT"/>
      <sheetName val="3.HTA"/>
      <sheetName val="2. MEWR"/>
      <sheetName val="1. PARL"/>
      <sheetName val="0.MOE"/>
      <sheetName val="Sheet1"/>
      <sheetName val="Stats"/>
      <sheetName val="Template"/>
      <sheetName val="ELD"/>
      <sheetName val="MOF-HQ"/>
      <sheetName val="MN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29">
          <cell r="E29">
            <v>2400</v>
          </cell>
        </row>
        <row r="36">
          <cell r="E36">
            <v>180</v>
          </cell>
        </row>
      </sheetData>
      <sheetData sheetId="25">
        <row r="943">
          <cell r="G943">
            <v>19</v>
          </cell>
        </row>
      </sheetData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96238-35EF-4B1B-A4D1-840BF2E4F651}">
  <dimension ref="A1:J11"/>
  <sheetViews>
    <sheetView workbookViewId="0">
      <selection sqref="A1:K11"/>
    </sheetView>
  </sheetViews>
  <sheetFormatPr defaultRowHeight="14.4" x14ac:dyDescent="0.3"/>
  <cols>
    <col min="2" max="2" width="13.77734375" customWidth="1"/>
    <col min="3" max="3" width="15" style="17" customWidth="1"/>
    <col min="9" max="9" width="19.6640625" customWidth="1"/>
    <col min="10" max="10" width="13.77734375" customWidth="1"/>
  </cols>
  <sheetData>
    <row r="1" spans="1:10" ht="15.6" x14ac:dyDescent="0.3">
      <c r="A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t="s">
        <v>9</v>
      </c>
      <c r="J1" t="s">
        <v>10</v>
      </c>
    </row>
    <row r="2" spans="1:10" ht="15.6" x14ac:dyDescent="0.3">
      <c r="A2" s="8">
        <v>44652</v>
      </c>
      <c r="B2" s="9">
        <v>44662</v>
      </c>
      <c r="C2" s="16">
        <v>1</v>
      </c>
      <c r="D2" s="11">
        <v>11</v>
      </c>
      <c r="E2" s="11">
        <v>0</v>
      </c>
      <c r="F2" s="11" t="s">
        <v>8</v>
      </c>
      <c r="G2" s="11">
        <v>0</v>
      </c>
      <c r="H2" s="11">
        <v>250</v>
      </c>
      <c r="I2" t="s">
        <v>28</v>
      </c>
      <c r="J2" t="s">
        <v>11</v>
      </c>
    </row>
    <row r="3" spans="1:10" ht="15.6" x14ac:dyDescent="0.3">
      <c r="A3" s="8">
        <v>44652</v>
      </c>
      <c r="B3" s="9">
        <v>44662</v>
      </c>
      <c r="C3" s="16">
        <v>1</v>
      </c>
      <c r="D3" s="11">
        <v>12</v>
      </c>
      <c r="E3" s="11">
        <v>0</v>
      </c>
      <c r="F3" s="11" t="s">
        <v>8</v>
      </c>
      <c r="G3" s="11">
        <v>0</v>
      </c>
      <c r="H3" s="11">
        <v>250</v>
      </c>
      <c r="I3" t="s">
        <v>28</v>
      </c>
      <c r="J3" t="s">
        <v>11</v>
      </c>
    </row>
    <row r="4" spans="1:10" ht="15.6" x14ac:dyDescent="0.3">
      <c r="A4" s="8">
        <v>44652</v>
      </c>
      <c r="B4" s="9">
        <v>44662</v>
      </c>
      <c r="C4" s="16">
        <v>1</v>
      </c>
      <c r="D4" s="11">
        <v>8</v>
      </c>
      <c r="E4" s="12">
        <v>0</v>
      </c>
      <c r="F4" s="11" t="s">
        <v>8</v>
      </c>
      <c r="G4" s="12">
        <v>0</v>
      </c>
      <c r="H4" s="11">
        <v>250</v>
      </c>
      <c r="I4" t="s">
        <v>28</v>
      </c>
      <c r="J4" t="s">
        <v>11</v>
      </c>
    </row>
    <row r="5" spans="1:10" ht="15.6" x14ac:dyDescent="0.3">
      <c r="A5" s="8">
        <v>44652</v>
      </c>
      <c r="B5" s="9">
        <v>44662</v>
      </c>
      <c r="C5" s="16">
        <v>1</v>
      </c>
      <c r="D5" s="11">
        <v>11</v>
      </c>
      <c r="E5" s="12">
        <v>0</v>
      </c>
      <c r="F5" s="11" t="s">
        <v>8</v>
      </c>
      <c r="G5" s="12">
        <v>0</v>
      </c>
      <c r="H5" s="11">
        <v>250</v>
      </c>
      <c r="I5" t="s">
        <v>28</v>
      </c>
      <c r="J5" t="s">
        <v>11</v>
      </c>
    </row>
    <row r="6" spans="1:10" ht="15.6" x14ac:dyDescent="0.3">
      <c r="A6" s="8">
        <v>44652</v>
      </c>
      <c r="B6" s="9">
        <v>44662</v>
      </c>
      <c r="C6" s="16">
        <v>1</v>
      </c>
      <c r="D6" s="11">
        <v>9</v>
      </c>
      <c r="E6" s="12">
        <v>0</v>
      </c>
      <c r="F6" s="11" t="s">
        <v>8</v>
      </c>
      <c r="G6" s="12">
        <v>0</v>
      </c>
      <c r="H6" s="11">
        <v>250</v>
      </c>
      <c r="I6" t="s">
        <v>28</v>
      </c>
      <c r="J6" t="s">
        <v>11</v>
      </c>
    </row>
    <row r="7" spans="1:10" ht="15.6" x14ac:dyDescent="0.3">
      <c r="A7" s="13">
        <v>44652</v>
      </c>
      <c r="B7" s="10">
        <v>44658</v>
      </c>
      <c r="C7" s="14">
        <v>1</v>
      </c>
      <c r="D7" s="11">
        <v>38</v>
      </c>
      <c r="E7" s="11">
        <v>38</v>
      </c>
      <c r="F7" s="11" t="s">
        <v>12</v>
      </c>
      <c r="G7" s="11">
        <v>38</v>
      </c>
      <c r="H7" s="11">
        <v>73</v>
      </c>
      <c r="I7" t="s">
        <v>29</v>
      </c>
      <c r="J7" t="s">
        <v>11</v>
      </c>
    </row>
    <row r="8" spans="1:10" ht="15.6" x14ac:dyDescent="0.3">
      <c r="A8" s="13">
        <v>44713</v>
      </c>
      <c r="B8" s="10">
        <v>44736</v>
      </c>
      <c r="C8" s="15">
        <v>2</v>
      </c>
      <c r="D8" s="11">
        <v>24</v>
      </c>
      <c r="E8" s="11">
        <v>23</v>
      </c>
      <c r="F8" s="11" t="s">
        <v>12</v>
      </c>
      <c r="G8" s="11">
        <v>23</v>
      </c>
      <c r="H8" s="11">
        <v>73</v>
      </c>
      <c r="I8" t="s">
        <v>29</v>
      </c>
      <c r="J8" t="s">
        <v>11</v>
      </c>
    </row>
    <row r="9" spans="1:10" ht="31.2" x14ac:dyDescent="0.3">
      <c r="A9" s="18">
        <v>44501</v>
      </c>
      <c r="B9" s="9">
        <v>44522</v>
      </c>
      <c r="C9" s="19">
        <v>1</v>
      </c>
      <c r="D9" s="14">
        <v>25</v>
      </c>
      <c r="E9" s="14">
        <v>25</v>
      </c>
      <c r="F9" s="14" t="s">
        <v>8</v>
      </c>
      <c r="G9" s="14">
        <v>0</v>
      </c>
      <c r="H9" s="20">
        <f>'[1]Drawdown Status'!E36</f>
        <v>180</v>
      </c>
    </row>
    <row r="10" spans="1:10" ht="31.2" x14ac:dyDescent="0.3">
      <c r="A10" s="18">
        <v>44501</v>
      </c>
      <c r="B10" s="9">
        <v>44522</v>
      </c>
      <c r="C10" s="21">
        <v>1</v>
      </c>
      <c r="D10" s="14">
        <v>25</v>
      </c>
      <c r="E10" s="14">
        <v>25</v>
      </c>
      <c r="F10" s="14" t="s">
        <v>8</v>
      </c>
      <c r="G10" s="14">
        <v>0</v>
      </c>
      <c r="I10" s="22"/>
    </row>
    <row r="11" spans="1:10" ht="31.2" x14ac:dyDescent="0.3">
      <c r="A11" s="18">
        <v>44501</v>
      </c>
      <c r="B11" s="9">
        <v>44522</v>
      </c>
      <c r="C11" s="23">
        <v>1</v>
      </c>
      <c r="D11" s="14">
        <v>25</v>
      </c>
      <c r="E11" s="14">
        <v>25</v>
      </c>
      <c r="F11" s="14" t="s">
        <v>8</v>
      </c>
      <c r="G11" s="14">
        <v>0</v>
      </c>
      <c r="I11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19A43-8F97-4B07-B616-FA7C8E8086C5}">
  <dimension ref="A1:B38"/>
  <sheetViews>
    <sheetView workbookViewId="0">
      <selection activeCell="A2" sqref="A2"/>
    </sheetView>
  </sheetViews>
  <sheetFormatPr defaultRowHeight="14.4" x14ac:dyDescent="0.3"/>
  <cols>
    <col min="1" max="1" width="19.77734375" customWidth="1"/>
    <col min="2" max="2" width="19.5546875" style="26" customWidth="1"/>
  </cols>
  <sheetData>
    <row r="1" spans="1:2" ht="15.6" x14ac:dyDescent="0.3">
      <c r="A1" s="24" t="s">
        <v>13</v>
      </c>
      <c r="B1" s="25" t="s">
        <v>65</v>
      </c>
    </row>
    <row r="2" spans="1:2" x14ac:dyDescent="0.3">
      <c r="A2" t="s">
        <v>28</v>
      </c>
      <c r="B2" s="26">
        <v>250</v>
      </c>
    </row>
    <row r="3" spans="1:2" x14ac:dyDescent="0.3">
      <c r="A3" t="s">
        <v>29</v>
      </c>
      <c r="B3" s="26">
        <v>73</v>
      </c>
    </row>
    <row r="4" spans="1:2" ht="15.6" x14ac:dyDescent="0.3">
      <c r="A4" t="s">
        <v>30</v>
      </c>
      <c r="B4" s="20">
        <v>2400</v>
      </c>
    </row>
    <row r="5" spans="1:2" x14ac:dyDescent="0.3">
      <c r="A5" t="s">
        <v>31</v>
      </c>
      <c r="B5" s="26">
        <v>377</v>
      </c>
    </row>
    <row r="6" spans="1:2" x14ac:dyDescent="0.3">
      <c r="A6" t="s">
        <v>32</v>
      </c>
      <c r="B6" s="26">
        <v>4352</v>
      </c>
    </row>
    <row r="7" spans="1:2" x14ac:dyDescent="0.3">
      <c r="A7" t="s">
        <v>33</v>
      </c>
      <c r="B7" s="26">
        <v>4022</v>
      </c>
    </row>
    <row r="8" spans="1:2" x14ac:dyDescent="0.3">
      <c r="A8" t="s">
        <v>34</v>
      </c>
      <c r="B8" s="26">
        <v>400</v>
      </c>
    </row>
    <row r="9" spans="1:2" x14ac:dyDescent="0.3">
      <c r="A9" t="s">
        <v>35</v>
      </c>
      <c r="B9" s="26">
        <v>700</v>
      </c>
    </row>
    <row r="10" spans="1:2" x14ac:dyDescent="0.3">
      <c r="A10" t="s">
        <v>36</v>
      </c>
      <c r="B10" s="26">
        <v>80</v>
      </c>
    </row>
    <row r="11" spans="1:2" x14ac:dyDescent="0.3">
      <c r="A11" t="s">
        <v>37</v>
      </c>
      <c r="B11" s="26">
        <v>380</v>
      </c>
    </row>
    <row r="12" spans="1:2" x14ac:dyDescent="0.3">
      <c r="A12" t="s">
        <v>38</v>
      </c>
      <c r="B12" s="26">
        <v>585</v>
      </c>
    </row>
    <row r="13" spans="1:2" x14ac:dyDescent="0.3">
      <c r="A13" t="s">
        <v>39</v>
      </c>
      <c r="B13" s="26">
        <v>90</v>
      </c>
    </row>
    <row r="14" spans="1:2" x14ac:dyDescent="0.3">
      <c r="A14" t="s">
        <v>40</v>
      </c>
      <c r="B14" s="26">
        <v>200</v>
      </c>
    </row>
    <row r="15" spans="1:2" x14ac:dyDescent="0.3">
      <c r="A15" t="s">
        <v>41</v>
      </c>
      <c r="B15" s="26">
        <v>450</v>
      </c>
    </row>
    <row r="16" spans="1:2" x14ac:dyDescent="0.3">
      <c r="A16" t="s">
        <v>42</v>
      </c>
      <c r="B16" s="26">
        <v>1200</v>
      </c>
    </row>
    <row r="17" spans="1:2" x14ac:dyDescent="0.3">
      <c r="A17" t="s">
        <v>43</v>
      </c>
      <c r="B17" s="26">
        <v>5466</v>
      </c>
    </row>
    <row r="18" spans="1:2" x14ac:dyDescent="0.3">
      <c r="A18" t="s">
        <v>44</v>
      </c>
      <c r="B18" s="26">
        <v>2000</v>
      </c>
    </row>
    <row r="19" spans="1:2" x14ac:dyDescent="0.3">
      <c r="A19" t="s">
        <v>45</v>
      </c>
      <c r="B19" s="26">
        <v>124</v>
      </c>
    </row>
    <row r="20" spans="1:2" x14ac:dyDescent="0.3">
      <c r="A20" t="s">
        <v>46</v>
      </c>
      <c r="B20" s="26">
        <v>2070</v>
      </c>
    </row>
    <row r="21" spans="1:2" x14ac:dyDescent="0.3">
      <c r="A21" t="s">
        <v>47</v>
      </c>
      <c r="B21" s="26">
        <v>208</v>
      </c>
    </row>
    <row r="22" spans="1:2" x14ac:dyDescent="0.3">
      <c r="A22" t="s">
        <v>48</v>
      </c>
      <c r="B22" s="26">
        <v>1126</v>
      </c>
    </row>
    <row r="23" spans="1:2" x14ac:dyDescent="0.3">
      <c r="A23" t="s">
        <v>49</v>
      </c>
      <c r="B23" s="26">
        <v>450</v>
      </c>
    </row>
    <row r="24" spans="1:2" x14ac:dyDescent="0.3">
      <c r="A24" t="s">
        <v>50</v>
      </c>
      <c r="B24" s="26">
        <v>3879</v>
      </c>
    </row>
    <row r="25" spans="1:2" x14ac:dyDescent="0.3">
      <c r="A25" t="s">
        <v>51</v>
      </c>
      <c r="B25" s="26">
        <v>768</v>
      </c>
    </row>
    <row r="26" spans="1:2" x14ac:dyDescent="0.3">
      <c r="A26" t="s">
        <v>52</v>
      </c>
      <c r="B26" s="26">
        <v>240</v>
      </c>
    </row>
    <row r="27" spans="1:2" x14ac:dyDescent="0.3">
      <c r="A27" t="s">
        <v>53</v>
      </c>
      <c r="B27" s="26">
        <v>1100</v>
      </c>
    </row>
    <row r="28" spans="1:2" x14ac:dyDescent="0.3">
      <c r="A28" t="s">
        <v>54</v>
      </c>
      <c r="B28" s="26">
        <v>473</v>
      </c>
    </row>
    <row r="29" spans="1:2" x14ac:dyDescent="0.3">
      <c r="A29" t="s">
        <v>55</v>
      </c>
      <c r="B29" s="26">
        <v>280</v>
      </c>
    </row>
    <row r="30" spans="1:2" x14ac:dyDescent="0.3">
      <c r="A30" t="s">
        <v>56</v>
      </c>
      <c r="B30" s="26">
        <v>674</v>
      </c>
    </row>
    <row r="31" spans="1:2" x14ac:dyDescent="0.3">
      <c r="A31" t="s">
        <v>57</v>
      </c>
      <c r="B31" s="26">
        <v>519</v>
      </c>
    </row>
    <row r="32" spans="1:2" x14ac:dyDescent="0.3">
      <c r="A32" t="s">
        <v>58</v>
      </c>
    </row>
    <row r="33" spans="1:2" x14ac:dyDescent="0.3">
      <c r="A33" t="s">
        <v>59</v>
      </c>
      <c r="B33" s="26">
        <v>100</v>
      </c>
    </row>
    <row r="34" spans="1:2" x14ac:dyDescent="0.3">
      <c r="A34" t="s">
        <v>60</v>
      </c>
      <c r="B34" s="26">
        <v>180</v>
      </c>
    </row>
    <row r="35" spans="1:2" x14ac:dyDescent="0.3">
      <c r="A35" t="s">
        <v>61</v>
      </c>
      <c r="B35" s="26">
        <v>200</v>
      </c>
    </row>
    <row r="36" spans="1:2" x14ac:dyDescent="0.3">
      <c r="A36" t="s">
        <v>62</v>
      </c>
      <c r="B36" s="26">
        <v>205</v>
      </c>
    </row>
    <row r="37" spans="1:2" x14ac:dyDescent="0.3">
      <c r="A37" t="s">
        <v>63</v>
      </c>
      <c r="B37" s="26">
        <v>48</v>
      </c>
    </row>
    <row r="38" spans="1:2" x14ac:dyDescent="0.3">
      <c r="A38" t="s">
        <v>64</v>
      </c>
      <c r="B38" s="26">
        <v>58000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D749D-29B5-437B-BCE2-11BC5B147A9A}">
  <dimension ref="A1:B38"/>
  <sheetViews>
    <sheetView workbookViewId="0">
      <selection activeCell="A39" sqref="A39:XFD39"/>
    </sheetView>
  </sheetViews>
  <sheetFormatPr defaultRowHeight="14.4" x14ac:dyDescent="0.3"/>
  <cols>
    <col min="1" max="1" width="21.77734375" customWidth="1"/>
    <col min="2" max="2" width="12.88671875" customWidth="1"/>
  </cols>
  <sheetData>
    <row r="1" spans="1:2" x14ac:dyDescent="0.3">
      <c r="A1" t="s">
        <v>13</v>
      </c>
      <c r="B1" t="s">
        <v>19</v>
      </c>
    </row>
    <row r="2" spans="1:2" x14ac:dyDescent="0.3">
      <c r="A2" t="s">
        <v>28</v>
      </c>
      <c r="B2">
        <v>37</v>
      </c>
    </row>
    <row r="3" spans="1:2" x14ac:dyDescent="0.3">
      <c r="A3" t="s">
        <v>29</v>
      </c>
      <c r="B3">
        <v>36</v>
      </c>
    </row>
    <row r="4" spans="1:2" x14ac:dyDescent="0.3">
      <c r="A4" t="s">
        <v>30</v>
      </c>
      <c r="B4">
        <v>35</v>
      </c>
    </row>
    <row r="5" spans="1:2" x14ac:dyDescent="0.3">
      <c r="A5" t="s">
        <v>31</v>
      </c>
      <c r="B5">
        <v>34</v>
      </c>
    </row>
    <row r="6" spans="1:2" x14ac:dyDescent="0.3">
      <c r="A6" t="s">
        <v>32</v>
      </c>
      <c r="B6">
        <v>33</v>
      </c>
    </row>
    <row r="7" spans="1:2" x14ac:dyDescent="0.3">
      <c r="A7" t="s">
        <v>33</v>
      </c>
      <c r="B7">
        <v>32</v>
      </c>
    </row>
    <row r="8" spans="1:2" x14ac:dyDescent="0.3">
      <c r="A8" t="s">
        <v>34</v>
      </c>
      <c r="B8">
        <v>31</v>
      </c>
    </row>
    <row r="9" spans="1:2" x14ac:dyDescent="0.3">
      <c r="A9" t="s">
        <v>35</v>
      </c>
      <c r="B9">
        <v>30</v>
      </c>
    </row>
    <row r="10" spans="1:2" x14ac:dyDescent="0.3">
      <c r="A10" t="s">
        <v>36</v>
      </c>
      <c r="B10">
        <v>29</v>
      </c>
    </row>
    <row r="11" spans="1:2" x14ac:dyDescent="0.3">
      <c r="A11" t="s">
        <v>37</v>
      </c>
      <c r="B11">
        <v>28</v>
      </c>
    </row>
    <row r="12" spans="1:2" x14ac:dyDescent="0.3">
      <c r="A12" t="s">
        <v>38</v>
      </c>
      <c r="B12">
        <v>27</v>
      </c>
    </row>
    <row r="13" spans="1:2" x14ac:dyDescent="0.3">
      <c r="A13" t="s">
        <v>39</v>
      </c>
      <c r="B13">
        <v>26</v>
      </c>
    </row>
    <row r="14" spans="1:2" x14ac:dyDescent="0.3">
      <c r="A14" t="s">
        <v>40</v>
      </c>
      <c r="B14">
        <v>25</v>
      </c>
    </row>
    <row r="15" spans="1:2" x14ac:dyDescent="0.3">
      <c r="A15" t="s">
        <v>41</v>
      </c>
      <c r="B15">
        <v>24</v>
      </c>
    </row>
    <row r="16" spans="1:2" x14ac:dyDescent="0.3">
      <c r="A16" t="s">
        <v>42</v>
      </c>
      <c r="B16">
        <v>23</v>
      </c>
    </row>
    <row r="17" spans="1:2" x14ac:dyDescent="0.3">
      <c r="A17" t="s">
        <v>43</v>
      </c>
      <c r="B17">
        <v>22</v>
      </c>
    </row>
    <row r="18" spans="1:2" x14ac:dyDescent="0.3">
      <c r="A18" t="s">
        <v>44</v>
      </c>
      <c r="B18">
        <v>21</v>
      </c>
    </row>
    <row r="19" spans="1:2" x14ac:dyDescent="0.3">
      <c r="A19" t="s">
        <v>45</v>
      </c>
      <c r="B19">
        <v>20</v>
      </c>
    </row>
    <row r="20" spans="1:2" x14ac:dyDescent="0.3">
      <c r="A20" t="s">
        <v>46</v>
      </c>
      <c r="B20">
        <v>19</v>
      </c>
    </row>
    <row r="21" spans="1:2" x14ac:dyDescent="0.3">
      <c r="A21" t="s">
        <v>47</v>
      </c>
      <c r="B21">
        <v>18</v>
      </c>
    </row>
    <row r="22" spans="1:2" x14ac:dyDescent="0.3">
      <c r="A22" t="s">
        <v>48</v>
      </c>
      <c r="B22">
        <v>17</v>
      </c>
    </row>
    <row r="23" spans="1:2" x14ac:dyDescent="0.3">
      <c r="A23" t="s">
        <v>49</v>
      </c>
      <c r="B23">
        <v>16</v>
      </c>
    </row>
    <row r="24" spans="1:2" x14ac:dyDescent="0.3">
      <c r="A24" t="s">
        <v>50</v>
      </c>
      <c r="B24">
        <v>15</v>
      </c>
    </row>
    <row r="25" spans="1:2" x14ac:dyDescent="0.3">
      <c r="A25" t="s">
        <v>51</v>
      </c>
      <c r="B25">
        <v>14</v>
      </c>
    </row>
    <row r="26" spans="1:2" x14ac:dyDescent="0.3">
      <c r="A26" t="s">
        <v>52</v>
      </c>
      <c r="B26">
        <v>13</v>
      </c>
    </row>
    <row r="27" spans="1:2" x14ac:dyDescent="0.3">
      <c r="A27" t="s">
        <v>53</v>
      </c>
      <c r="B27">
        <v>12</v>
      </c>
    </row>
    <row r="28" spans="1:2" x14ac:dyDescent="0.3">
      <c r="A28" t="s">
        <v>54</v>
      </c>
      <c r="B28">
        <v>11</v>
      </c>
    </row>
    <row r="29" spans="1:2" x14ac:dyDescent="0.3">
      <c r="A29" t="s">
        <v>55</v>
      </c>
      <c r="B29">
        <v>10</v>
      </c>
    </row>
    <row r="30" spans="1:2" x14ac:dyDescent="0.3">
      <c r="A30" t="s">
        <v>56</v>
      </c>
      <c r="B30">
        <v>9</v>
      </c>
    </row>
    <row r="31" spans="1:2" x14ac:dyDescent="0.3">
      <c r="A31" t="s">
        <v>57</v>
      </c>
      <c r="B31">
        <v>8</v>
      </c>
    </row>
    <row r="32" spans="1:2" x14ac:dyDescent="0.3">
      <c r="A32" t="s">
        <v>58</v>
      </c>
      <c r="B32">
        <v>7</v>
      </c>
    </row>
    <row r="33" spans="1:2" x14ac:dyDescent="0.3">
      <c r="A33" t="s">
        <v>59</v>
      </c>
      <c r="B33">
        <v>6</v>
      </c>
    </row>
    <row r="34" spans="1:2" x14ac:dyDescent="0.3">
      <c r="A34" t="s">
        <v>60</v>
      </c>
      <c r="B34">
        <v>5</v>
      </c>
    </row>
    <row r="35" spans="1:2" x14ac:dyDescent="0.3">
      <c r="A35" t="s">
        <v>61</v>
      </c>
      <c r="B35">
        <v>4</v>
      </c>
    </row>
    <row r="36" spans="1:2" x14ac:dyDescent="0.3">
      <c r="A36" t="s">
        <v>62</v>
      </c>
      <c r="B36">
        <v>3</v>
      </c>
    </row>
    <row r="37" spans="1:2" x14ac:dyDescent="0.3">
      <c r="A37" t="s">
        <v>63</v>
      </c>
      <c r="B37">
        <v>2</v>
      </c>
    </row>
    <row r="38" spans="1:2" x14ac:dyDescent="0.3">
      <c r="A38" t="s">
        <v>64</v>
      </c>
      <c r="B38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1FCE5-BE31-4CA5-95B8-757B078A6CE0}">
  <dimension ref="A1:G2299"/>
  <sheetViews>
    <sheetView tabSelected="1" zoomScale="90" zoomScaleNormal="90" workbookViewId="0">
      <selection activeCell="I8" sqref="I8"/>
    </sheetView>
  </sheetViews>
  <sheetFormatPr defaultRowHeight="14.4" x14ac:dyDescent="0.3"/>
  <cols>
    <col min="1" max="1" width="16.33203125" style="36" customWidth="1"/>
    <col min="2" max="2" width="11.6640625" customWidth="1"/>
    <col min="3" max="4" width="8.77734375" style="17"/>
    <col min="5" max="5" width="16.77734375" style="26" customWidth="1"/>
    <col min="6" max="6" width="20.21875" style="17" customWidth="1"/>
  </cols>
  <sheetData>
    <row r="1" spans="1:6" ht="15.6" x14ac:dyDescent="0.3">
      <c r="A1" s="59" t="s">
        <v>1</v>
      </c>
      <c r="B1" s="3" t="s">
        <v>3</v>
      </c>
      <c r="C1" s="27" t="s">
        <v>4</v>
      </c>
      <c r="D1" s="6" t="s">
        <v>6</v>
      </c>
      <c r="E1" s="26" t="s">
        <v>14</v>
      </c>
      <c r="F1" s="17" t="s">
        <v>16</v>
      </c>
    </row>
    <row r="2" spans="1:6" ht="15.6" x14ac:dyDescent="0.3">
      <c r="A2" s="9">
        <v>44662</v>
      </c>
      <c r="B2" s="11">
        <v>11</v>
      </c>
      <c r="C2" s="11"/>
      <c r="D2" s="11"/>
      <c r="E2" s="11" t="s">
        <v>28</v>
      </c>
      <c r="F2" s="11" t="s">
        <v>17</v>
      </c>
    </row>
    <row r="3" spans="1:6" ht="15.6" x14ac:dyDescent="0.3">
      <c r="A3" s="9">
        <v>44662</v>
      </c>
      <c r="B3" s="11">
        <v>12</v>
      </c>
      <c r="C3" s="11"/>
      <c r="D3" s="11"/>
      <c r="E3" s="11" t="s">
        <v>28</v>
      </c>
      <c r="F3" s="11" t="s">
        <v>17</v>
      </c>
    </row>
    <row r="4" spans="1:6" ht="15.6" x14ac:dyDescent="0.3">
      <c r="A4" s="9">
        <v>44662</v>
      </c>
      <c r="B4" s="11">
        <v>8</v>
      </c>
      <c r="C4" s="12"/>
      <c r="D4" s="12"/>
      <c r="E4" s="11" t="s">
        <v>28</v>
      </c>
      <c r="F4" s="11" t="s">
        <v>17</v>
      </c>
    </row>
    <row r="5" spans="1:6" ht="15.6" x14ac:dyDescent="0.3">
      <c r="A5" s="9">
        <v>44662</v>
      </c>
      <c r="B5" s="11">
        <v>11</v>
      </c>
      <c r="C5" s="12"/>
      <c r="D5" s="12"/>
      <c r="E5" s="11" t="s">
        <v>28</v>
      </c>
      <c r="F5" s="11" t="s">
        <v>17</v>
      </c>
    </row>
    <row r="6" spans="1:6" ht="15.6" x14ac:dyDescent="0.3">
      <c r="A6" s="9">
        <v>44662</v>
      </c>
      <c r="B6" s="11">
        <v>9</v>
      </c>
      <c r="C6" s="12"/>
      <c r="D6" s="12"/>
      <c r="E6" s="11" t="s">
        <v>28</v>
      </c>
      <c r="F6" s="11" t="s">
        <v>17</v>
      </c>
    </row>
    <row r="7" spans="1:6" ht="15.6" x14ac:dyDescent="0.3">
      <c r="A7" s="10">
        <v>44658</v>
      </c>
      <c r="B7" s="11">
        <v>38</v>
      </c>
      <c r="C7" s="11">
        <v>38</v>
      </c>
      <c r="D7" s="11">
        <v>38</v>
      </c>
      <c r="E7" s="51" t="s">
        <v>29</v>
      </c>
      <c r="F7" s="11" t="s">
        <v>17</v>
      </c>
    </row>
    <row r="8" spans="1:6" ht="15.6" x14ac:dyDescent="0.3">
      <c r="A8" s="10">
        <v>44736</v>
      </c>
      <c r="B8" s="11">
        <v>24</v>
      </c>
      <c r="C8" s="11">
        <v>23</v>
      </c>
      <c r="D8" s="11">
        <v>23</v>
      </c>
      <c r="E8" s="51" t="s">
        <v>29</v>
      </c>
      <c r="F8" s="11" t="s">
        <v>17</v>
      </c>
    </row>
    <row r="9" spans="1:6" ht="15.6" x14ac:dyDescent="0.3">
      <c r="A9" s="9">
        <v>44522</v>
      </c>
      <c r="B9" s="14">
        <v>25</v>
      </c>
      <c r="C9" s="14">
        <v>25</v>
      </c>
      <c r="D9"/>
      <c r="E9" s="51" t="s">
        <v>30</v>
      </c>
      <c r="F9" s="11" t="s">
        <v>17</v>
      </c>
    </row>
    <row r="10" spans="1:6" ht="15.6" x14ac:dyDescent="0.3">
      <c r="A10" s="9">
        <v>44522</v>
      </c>
      <c r="B10" s="14">
        <v>25</v>
      </c>
      <c r="C10" s="14">
        <v>25</v>
      </c>
      <c r="D10"/>
      <c r="E10" s="51" t="s">
        <v>30</v>
      </c>
      <c r="F10" s="11" t="s">
        <v>17</v>
      </c>
    </row>
    <row r="11" spans="1:6" ht="15.6" x14ac:dyDescent="0.3">
      <c r="A11" s="9">
        <v>44522</v>
      </c>
      <c r="B11" s="14">
        <v>25</v>
      </c>
      <c r="C11" s="14">
        <v>25</v>
      </c>
      <c r="D11"/>
      <c r="E11" s="51" t="s">
        <v>30</v>
      </c>
      <c r="F11" s="11" t="s">
        <v>17</v>
      </c>
    </row>
    <row r="12" spans="1:6" x14ac:dyDescent="0.3">
      <c r="A12" s="70">
        <v>44572</v>
      </c>
      <c r="B12" s="11">
        <v>11</v>
      </c>
      <c r="C12" s="11">
        <v>11</v>
      </c>
      <c r="D12" s="11">
        <v>11</v>
      </c>
      <c r="E12" s="51" t="s">
        <v>31</v>
      </c>
      <c r="F12" s="11" t="s">
        <v>17</v>
      </c>
    </row>
    <row r="13" spans="1:6" x14ac:dyDescent="0.3">
      <c r="A13" s="70">
        <v>44572</v>
      </c>
      <c r="B13" s="11">
        <v>12</v>
      </c>
      <c r="C13" s="11">
        <v>12</v>
      </c>
      <c r="D13" s="11">
        <v>12</v>
      </c>
      <c r="E13" s="51" t="s">
        <v>31</v>
      </c>
      <c r="F13" s="11" t="s">
        <v>17</v>
      </c>
    </row>
    <row r="14" spans="1:6" x14ac:dyDescent="0.3">
      <c r="A14" s="70">
        <v>44572</v>
      </c>
      <c r="B14" s="11">
        <v>12</v>
      </c>
      <c r="C14" s="11">
        <v>12</v>
      </c>
      <c r="D14" s="11">
        <v>12</v>
      </c>
      <c r="E14" s="51" t="s">
        <v>31</v>
      </c>
      <c r="F14" s="11" t="s">
        <v>17</v>
      </c>
    </row>
    <row r="15" spans="1:6" x14ac:dyDescent="0.3">
      <c r="A15" s="70">
        <v>44572</v>
      </c>
      <c r="B15" s="11">
        <v>8</v>
      </c>
      <c r="C15" s="11">
        <v>8</v>
      </c>
      <c r="D15" s="11">
        <v>8</v>
      </c>
      <c r="E15" s="51" t="s">
        <v>31</v>
      </c>
      <c r="F15" s="11" t="s">
        <v>17</v>
      </c>
    </row>
    <row r="16" spans="1:6" x14ac:dyDescent="0.3">
      <c r="A16" s="70">
        <v>44589</v>
      </c>
      <c r="B16" s="11">
        <v>11</v>
      </c>
      <c r="C16" s="11">
        <v>11</v>
      </c>
      <c r="D16" s="11">
        <v>11</v>
      </c>
      <c r="E16" s="51" t="s">
        <v>31</v>
      </c>
      <c r="F16" s="11" t="s">
        <v>17</v>
      </c>
    </row>
    <row r="17" spans="1:6" x14ac:dyDescent="0.3">
      <c r="A17" s="70">
        <v>44589</v>
      </c>
      <c r="B17" s="11">
        <v>11</v>
      </c>
      <c r="C17" s="11">
        <v>11</v>
      </c>
      <c r="D17" s="11">
        <v>11</v>
      </c>
      <c r="E17" s="51" t="s">
        <v>31</v>
      </c>
      <c r="F17" s="11" t="s">
        <v>17</v>
      </c>
    </row>
    <row r="18" spans="1:6" x14ac:dyDescent="0.3">
      <c r="A18" s="70">
        <v>44589</v>
      </c>
      <c r="B18" s="11">
        <v>11</v>
      </c>
      <c r="C18" s="11">
        <v>11</v>
      </c>
      <c r="D18" s="11">
        <v>11</v>
      </c>
      <c r="E18" s="51" t="s">
        <v>31</v>
      </c>
      <c r="F18" s="11" t="s">
        <v>17</v>
      </c>
    </row>
    <row r="19" spans="1:6" x14ac:dyDescent="0.3">
      <c r="A19" s="70">
        <v>44589</v>
      </c>
      <c r="B19" s="11">
        <v>11</v>
      </c>
      <c r="C19" s="11">
        <v>11</v>
      </c>
      <c r="D19" s="11">
        <v>11</v>
      </c>
      <c r="E19" s="51" t="s">
        <v>31</v>
      </c>
      <c r="F19" s="11" t="s">
        <v>17</v>
      </c>
    </row>
    <row r="20" spans="1:6" x14ac:dyDescent="0.3">
      <c r="A20" s="70">
        <v>44630</v>
      </c>
      <c r="B20" s="11">
        <v>11</v>
      </c>
      <c r="C20" s="11">
        <v>11</v>
      </c>
      <c r="D20" s="11">
        <v>11</v>
      </c>
      <c r="E20" s="51" t="s">
        <v>31</v>
      </c>
      <c r="F20" s="11" t="s">
        <v>17</v>
      </c>
    </row>
    <row r="21" spans="1:6" x14ac:dyDescent="0.3">
      <c r="A21" s="70">
        <v>44630</v>
      </c>
      <c r="B21" s="11">
        <v>11</v>
      </c>
      <c r="C21" s="11">
        <v>11</v>
      </c>
      <c r="D21" s="11">
        <v>11</v>
      </c>
      <c r="E21" s="51" t="s">
        <v>31</v>
      </c>
      <c r="F21" s="11" t="s">
        <v>17</v>
      </c>
    </row>
    <row r="22" spans="1:6" x14ac:dyDescent="0.3">
      <c r="A22" s="70">
        <v>44630</v>
      </c>
      <c r="B22" s="11">
        <v>10</v>
      </c>
      <c r="C22" s="11">
        <v>10</v>
      </c>
      <c r="D22" s="11">
        <v>10</v>
      </c>
      <c r="E22" s="51" t="s">
        <v>31</v>
      </c>
      <c r="F22" s="11" t="s">
        <v>17</v>
      </c>
    </row>
    <row r="23" spans="1:6" x14ac:dyDescent="0.3">
      <c r="A23" s="70">
        <v>44630</v>
      </c>
      <c r="B23" s="11">
        <v>11</v>
      </c>
      <c r="C23" s="11">
        <v>11</v>
      </c>
      <c r="D23" s="11">
        <v>11</v>
      </c>
      <c r="E23" s="51" t="s">
        <v>31</v>
      </c>
      <c r="F23" s="11" t="s">
        <v>17</v>
      </c>
    </row>
    <row r="24" spans="1:6" x14ac:dyDescent="0.3">
      <c r="A24" s="70">
        <v>44669</v>
      </c>
      <c r="B24" s="11">
        <v>15</v>
      </c>
      <c r="C24" s="11">
        <v>15</v>
      </c>
      <c r="D24" s="11">
        <v>15</v>
      </c>
      <c r="E24" s="51" t="s">
        <v>31</v>
      </c>
      <c r="F24" s="11" t="s">
        <v>17</v>
      </c>
    </row>
    <row r="25" spans="1:6" x14ac:dyDescent="0.3">
      <c r="A25" s="70">
        <v>44669</v>
      </c>
      <c r="B25" s="11">
        <v>11</v>
      </c>
      <c r="C25" s="11">
        <v>11</v>
      </c>
      <c r="D25" s="11">
        <v>11</v>
      </c>
      <c r="E25" s="51" t="s">
        <v>31</v>
      </c>
      <c r="F25" s="11" t="s">
        <v>17</v>
      </c>
    </row>
    <row r="26" spans="1:6" x14ac:dyDescent="0.3">
      <c r="A26" s="70">
        <v>44669</v>
      </c>
      <c r="B26" s="11">
        <v>15</v>
      </c>
      <c r="C26" s="11">
        <v>15</v>
      </c>
      <c r="D26" s="11">
        <v>15</v>
      </c>
      <c r="E26" s="51" t="s">
        <v>31</v>
      </c>
      <c r="F26" s="11" t="s">
        <v>17</v>
      </c>
    </row>
    <row r="27" spans="1:6" x14ac:dyDescent="0.3">
      <c r="A27" s="70">
        <v>44669</v>
      </c>
      <c r="B27" s="11">
        <v>14</v>
      </c>
      <c r="C27" s="11">
        <v>14</v>
      </c>
      <c r="D27" s="11">
        <v>14</v>
      </c>
      <c r="E27" s="51" t="s">
        <v>31</v>
      </c>
      <c r="F27" s="11" t="s">
        <v>17</v>
      </c>
    </row>
    <row r="28" spans="1:6" x14ac:dyDescent="0.3">
      <c r="A28" s="70">
        <v>44686</v>
      </c>
      <c r="B28" s="11">
        <v>10</v>
      </c>
      <c r="C28" s="11">
        <v>10</v>
      </c>
      <c r="D28" s="11">
        <v>10</v>
      </c>
      <c r="E28" s="51" t="s">
        <v>31</v>
      </c>
      <c r="F28" s="11" t="s">
        <v>17</v>
      </c>
    </row>
    <row r="29" spans="1:6" x14ac:dyDescent="0.3">
      <c r="A29" s="70">
        <v>44686</v>
      </c>
      <c r="B29" s="11">
        <v>13</v>
      </c>
      <c r="C29" s="11">
        <v>13</v>
      </c>
      <c r="D29" s="11">
        <v>11</v>
      </c>
      <c r="E29" s="51" t="s">
        <v>31</v>
      </c>
      <c r="F29" s="11" t="s">
        <v>17</v>
      </c>
    </row>
    <row r="30" spans="1:6" x14ac:dyDescent="0.3">
      <c r="A30" s="71">
        <v>44252</v>
      </c>
      <c r="B30" s="33">
        <v>74</v>
      </c>
      <c r="C30" s="33">
        <v>74</v>
      </c>
      <c r="D30" s="72">
        <v>74</v>
      </c>
      <c r="E30" s="51" t="s">
        <v>32</v>
      </c>
      <c r="F30" t="s">
        <v>20</v>
      </c>
    </row>
    <row r="31" spans="1:6" x14ac:dyDescent="0.3">
      <c r="A31" s="71">
        <v>44347</v>
      </c>
      <c r="B31" s="33">
        <v>90</v>
      </c>
      <c r="C31" s="33">
        <v>90</v>
      </c>
      <c r="D31">
        <v>90</v>
      </c>
      <c r="E31" s="51" t="s">
        <v>32</v>
      </c>
      <c r="F31" t="s">
        <v>20</v>
      </c>
    </row>
    <row r="32" spans="1:6" x14ac:dyDescent="0.3">
      <c r="A32" s="36">
        <v>44680</v>
      </c>
      <c r="B32">
        <v>12</v>
      </c>
      <c r="C32"/>
      <c r="D32"/>
      <c r="E32" s="51" t="s">
        <v>32</v>
      </c>
      <c r="F32" t="s">
        <v>20</v>
      </c>
    </row>
    <row r="33" spans="1:6" x14ac:dyDescent="0.3">
      <c r="A33" s="36">
        <v>44680</v>
      </c>
      <c r="B33">
        <v>15</v>
      </c>
      <c r="C33"/>
      <c r="D33"/>
      <c r="E33" s="51" t="s">
        <v>32</v>
      </c>
      <c r="F33" t="s">
        <v>20</v>
      </c>
    </row>
    <row r="34" spans="1:6" x14ac:dyDescent="0.3">
      <c r="A34" s="36">
        <v>44680</v>
      </c>
      <c r="B34">
        <v>15</v>
      </c>
      <c r="C34"/>
      <c r="D34"/>
      <c r="E34" s="51" t="s">
        <v>32</v>
      </c>
      <c r="F34" t="s">
        <v>20</v>
      </c>
    </row>
    <row r="35" spans="1:6" x14ac:dyDescent="0.3">
      <c r="A35" s="36">
        <v>44680</v>
      </c>
      <c r="B35">
        <v>14</v>
      </c>
      <c r="C35"/>
      <c r="D35"/>
      <c r="E35" s="51" t="s">
        <v>32</v>
      </c>
      <c r="F35" t="s">
        <v>20</v>
      </c>
    </row>
    <row r="36" spans="1:6" x14ac:dyDescent="0.3">
      <c r="A36" s="36">
        <v>44680</v>
      </c>
      <c r="B36">
        <v>11</v>
      </c>
      <c r="C36"/>
      <c r="D36"/>
      <c r="E36" s="51" t="s">
        <v>32</v>
      </c>
      <c r="F36" t="s">
        <v>20</v>
      </c>
    </row>
    <row r="37" spans="1:6" x14ac:dyDescent="0.3">
      <c r="A37" s="36">
        <v>44680</v>
      </c>
      <c r="B37">
        <v>15</v>
      </c>
      <c r="C37"/>
      <c r="D37"/>
      <c r="E37" s="51" t="s">
        <v>32</v>
      </c>
      <c r="F37" t="s">
        <v>20</v>
      </c>
    </row>
    <row r="38" spans="1:6" x14ac:dyDescent="0.3">
      <c r="A38" s="36">
        <v>44680</v>
      </c>
      <c r="B38">
        <v>14</v>
      </c>
      <c r="C38"/>
      <c r="D38"/>
      <c r="E38" s="51" t="s">
        <v>32</v>
      </c>
      <c r="F38" t="s">
        <v>20</v>
      </c>
    </row>
    <row r="39" spans="1:6" x14ac:dyDescent="0.3">
      <c r="A39" s="36">
        <v>44680</v>
      </c>
      <c r="B39">
        <v>15</v>
      </c>
      <c r="C39"/>
      <c r="D39"/>
      <c r="E39" s="51" t="s">
        <v>32</v>
      </c>
      <c r="F39" t="s">
        <v>20</v>
      </c>
    </row>
    <row r="40" spans="1:6" x14ac:dyDescent="0.3">
      <c r="A40" s="36">
        <v>44680</v>
      </c>
      <c r="B40">
        <v>13</v>
      </c>
      <c r="C40"/>
      <c r="D40"/>
      <c r="E40" s="51" t="s">
        <v>32</v>
      </c>
      <c r="F40" t="s">
        <v>20</v>
      </c>
    </row>
    <row r="41" spans="1:6" x14ac:dyDescent="0.3">
      <c r="A41" s="36">
        <v>44680</v>
      </c>
      <c r="B41">
        <v>14</v>
      </c>
      <c r="C41"/>
      <c r="D41"/>
      <c r="E41" s="51" t="s">
        <v>32</v>
      </c>
      <c r="F41" t="s">
        <v>20</v>
      </c>
    </row>
    <row r="42" spans="1:6" x14ac:dyDescent="0.3">
      <c r="A42" s="36">
        <v>44680</v>
      </c>
      <c r="B42">
        <v>15</v>
      </c>
      <c r="C42"/>
      <c r="D42"/>
      <c r="E42" s="51" t="s">
        <v>32</v>
      </c>
      <c r="F42" t="s">
        <v>20</v>
      </c>
    </row>
    <row r="43" spans="1:6" x14ac:dyDescent="0.3">
      <c r="A43" s="36">
        <v>44680</v>
      </c>
      <c r="B43">
        <v>15</v>
      </c>
      <c r="C43"/>
      <c r="D43"/>
      <c r="E43" s="51" t="s">
        <v>32</v>
      </c>
      <c r="F43" t="s">
        <v>20</v>
      </c>
    </row>
    <row r="44" spans="1:6" x14ac:dyDescent="0.3">
      <c r="A44" s="36">
        <v>44680</v>
      </c>
      <c r="B44">
        <v>15</v>
      </c>
      <c r="C44"/>
      <c r="D44"/>
      <c r="E44" s="51" t="s">
        <v>32</v>
      </c>
      <c r="F44" t="s">
        <v>20</v>
      </c>
    </row>
    <row r="45" spans="1:6" x14ac:dyDescent="0.3">
      <c r="A45" s="36">
        <v>44680</v>
      </c>
      <c r="B45">
        <v>16</v>
      </c>
      <c r="C45"/>
      <c r="D45"/>
      <c r="E45" s="51" t="s">
        <v>32</v>
      </c>
      <c r="F45" t="s">
        <v>20</v>
      </c>
    </row>
    <row r="46" spans="1:6" x14ac:dyDescent="0.3">
      <c r="A46" s="36">
        <v>44680</v>
      </c>
      <c r="B46">
        <v>14</v>
      </c>
      <c r="C46"/>
      <c r="D46"/>
      <c r="E46" s="51" t="s">
        <v>32</v>
      </c>
      <c r="F46" t="s">
        <v>20</v>
      </c>
    </row>
    <row r="47" spans="1:6" x14ac:dyDescent="0.3">
      <c r="A47" s="36">
        <v>44680</v>
      </c>
      <c r="B47">
        <v>14</v>
      </c>
      <c r="C47"/>
      <c r="D47"/>
      <c r="E47" s="51" t="s">
        <v>32</v>
      </c>
      <c r="F47" t="s">
        <v>20</v>
      </c>
    </row>
    <row r="48" spans="1:6" x14ac:dyDescent="0.3">
      <c r="A48" s="36">
        <v>44680</v>
      </c>
      <c r="B48">
        <v>14</v>
      </c>
      <c r="C48"/>
      <c r="D48"/>
      <c r="E48" s="51" t="s">
        <v>32</v>
      </c>
      <c r="F48" t="s">
        <v>20</v>
      </c>
    </row>
    <row r="49" spans="1:6" x14ac:dyDescent="0.3">
      <c r="A49" s="36">
        <v>44680</v>
      </c>
      <c r="B49">
        <v>14</v>
      </c>
      <c r="C49"/>
      <c r="D49"/>
      <c r="E49" s="51" t="s">
        <v>32</v>
      </c>
      <c r="F49" t="s">
        <v>20</v>
      </c>
    </row>
    <row r="50" spans="1:6" x14ac:dyDescent="0.3">
      <c r="A50" s="36">
        <v>44680</v>
      </c>
      <c r="B50">
        <v>13</v>
      </c>
      <c r="C50"/>
      <c r="D50"/>
      <c r="E50" s="51" t="s">
        <v>32</v>
      </c>
      <c r="F50" t="s">
        <v>20</v>
      </c>
    </row>
    <row r="51" spans="1:6" x14ac:dyDescent="0.3">
      <c r="A51" s="36">
        <v>44680</v>
      </c>
      <c r="B51">
        <v>15</v>
      </c>
      <c r="C51"/>
      <c r="D51"/>
      <c r="E51" s="51" t="s">
        <v>32</v>
      </c>
      <c r="F51" t="s">
        <v>20</v>
      </c>
    </row>
    <row r="52" spans="1:6" x14ac:dyDescent="0.3">
      <c r="A52" s="36">
        <v>44680</v>
      </c>
      <c r="B52">
        <v>15</v>
      </c>
      <c r="C52"/>
      <c r="D52"/>
      <c r="E52" s="51" t="s">
        <v>32</v>
      </c>
      <c r="F52" t="s">
        <v>20</v>
      </c>
    </row>
    <row r="53" spans="1:6" x14ac:dyDescent="0.3">
      <c r="A53" s="36">
        <v>44680</v>
      </c>
      <c r="B53">
        <v>14</v>
      </c>
      <c r="C53"/>
      <c r="D53"/>
      <c r="E53" s="51" t="s">
        <v>32</v>
      </c>
      <c r="F53" t="s">
        <v>20</v>
      </c>
    </row>
    <row r="54" spans="1:6" x14ac:dyDescent="0.3">
      <c r="A54" s="36">
        <v>44680</v>
      </c>
      <c r="B54">
        <v>15</v>
      </c>
      <c r="C54"/>
      <c r="D54"/>
      <c r="E54" s="51" t="s">
        <v>32</v>
      </c>
      <c r="F54" t="s">
        <v>20</v>
      </c>
    </row>
    <row r="55" spans="1:6" x14ac:dyDescent="0.3">
      <c r="A55" s="36">
        <v>44680</v>
      </c>
      <c r="B55">
        <v>15</v>
      </c>
      <c r="C55"/>
      <c r="D55"/>
      <c r="E55" s="51" t="s">
        <v>32</v>
      </c>
      <c r="F55" t="s">
        <v>20</v>
      </c>
    </row>
    <row r="56" spans="1:6" x14ac:dyDescent="0.3">
      <c r="A56" s="36">
        <v>44680</v>
      </c>
      <c r="B56">
        <v>15</v>
      </c>
      <c r="C56"/>
      <c r="D56"/>
      <c r="E56" s="51" t="s">
        <v>32</v>
      </c>
      <c r="F56" t="s">
        <v>20</v>
      </c>
    </row>
    <row r="57" spans="1:6" x14ac:dyDescent="0.3">
      <c r="A57" s="36">
        <v>44680</v>
      </c>
      <c r="B57">
        <v>14</v>
      </c>
      <c r="C57"/>
      <c r="D57"/>
      <c r="E57" s="51" t="s">
        <v>32</v>
      </c>
      <c r="F57" t="s">
        <v>20</v>
      </c>
    </row>
    <row r="58" spans="1:6" x14ac:dyDescent="0.3">
      <c r="A58" s="36">
        <v>44698</v>
      </c>
      <c r="B58">
        <v>15</v>
      </c>
      <c r="C58"/>
      <c r="D58"/>
      <c r="E58" s="51" t="s">
        <v>32</v>
      </c>
      <c r="F58" t="s">
        <v>20</v>
      </c>
    </row>
    <row r="59" spans="1:6" x14ac:dyDescent="0.3">
      <c r="A59" s="36">
        <v>44698</v>
      </c>
      <c r="B59">
        <v>12</v>
      </c>
      <c r="C59"/>
      <c r="D59"/>
      <c r="E59" s="51" t="s">
        <v>32</v>
      </c>
      <c r="F59" t="s">
        <v>20</v>
      </c>
    </row>
    <row r="60" spans="1:6" x14ac:dyDescent="0.3">
      <c r="A60" s="36">
        <v>44698</v>
      </c>
      <c r="B60">
        <v>13</v>
      </c>
      <c r="C60"/>
      <c r="D60"/>
      <c r="E60" s="51" t="s">
        <v>32</v>
      </c>
      <c r="F60" t="s">
        <v>20</v>
      </c>
    </row>
    <row r="61" spans="1:6" x14ac:dyDescent="0.3">
      <c r="A61" s="36">
        <v>44698</v>
      </c>
      <c r="B61">
        <v>12</v>
      </c>
      <c r="C61"/>
      <c r="D61"/>
      <c r="E61" s="51" t="s">
        <v>32</v>
      </c>
      <c r="F61" t="s">
        <v>20</v>
      </c>
    </row>
    <row r="62" spans="1:6" x14ac:dyDescent="0.3">
      <c r="A62" s="36">
        <v>44698</v>
      </c>
      <c r="B62">
        <v>14</v>
      </c>
      <c r="C62"/>
      <c r="D62"/>
      <c r="E62" s="51" t="s">
        <v>32</v>
      </c>
      <c r="F62" t="s">
        <v>20</v>
      </c>
    </row>
    <row r="63" spans="1:6" x14ac:dyDescent="0.3">
      <c r="A63" s="36">
        <v>44698</v>
      </c>
      <c r="B63">
        <v>13</v>
      </c>
      <c r="C63"/>
      <c r="D63"/>
      <c r="E63" s="51" t="s">
        <v>32</v>
      </c>
      <c r="F63" t="s">
        <v>20</v>
      </c>
    </row>
    <row r="64" spans="1:6" x14ac:dyDescent="0.3">
      <c r="A64" s="36">
        <v>44698</v>
      </c>
      <c r="B64">
        <v>15</v>
      </c>
      <c r="C64"/>
      <c r="D64"/>
      <c r="E64" s="51" t="s">
        <v>32</v>
      </c>
      <c r="F64" t="s">
        <v>20</v>
      </c>
    </row>
    <row r="65" spans="1:6" x14ac:dyDescent="0.3">
      <c r="A65" s="36">
        <v>44698</v>
      </c>
      <c r="B65">
        <v>15</v>
      </c>
      <c r="C65"/>
      <c r="D65"/>
      <c r="E65" s="51" t="s">
        <v>32</v>
      </c>
      <c r="F65" t="s">
        <v>20</v>
      </c>
    </row>
    <row r="66" spans="1:6" x14ac:dyDescent="0.3">
      <c r="A66" s="36">
        <v>44698</v>
      </c>
      <c r="B66">
        <v>13</v>
      </c>
      <c r="C66"/>
      <c r="D66"/>
      <c r="E66" s="51" t="s">
        <v>32</v>
      </c>
      <c r="F66" t="s">
        <v>20</v>
      </c>
    </row>
    <row r="67" spans="1:6" x14ac:dyDescent="0.3">
      <c r="A67" s="36">
        <v>44698</v>
      </c>
      <c r="B67">
        <v>14</v>
      </c>
      <c r="C67"/>
      <c r="D67"/>
      <c r="E67" s="51" t="s">
        <v>32</v>
      </c>
      <c r="F67" t="s">
        <v>20</v>
      </c>
    </row>
    <row r="68" spans="1:6" x14ac:dyDescent="0.3">
      <c r="A68" s="36">
        <v>44698</v>
      </c>
      <c r="B68">
        <v>15</v>
      </c>
      <c r="C68"/>
      <c r="D68"/>
      <c r="E68" s="51" t="s">
        <v>32</v>
      </c>
      <c r="F68" t="s">
        <v>20</v>
      </c>
    </row>
    <row r="69" spans="1:6" x14ac:dyDescent="0.3">
      <c r="A69" s="36">
        <v>44698</v>
      </c>
      <c r="B69">
        <v>14</v>
      </c>
      <c r="C69"/>
      <c r="D69"/>
      <c r="E69" s="51" t="s">
        <v>32</v>
      </c>
      <c r="F69" t="s">
        <v>20</v>
      </c>
    </row>
    <row r="70" spans="1:6" x14ac:dyDescent="0.3">
      <c r="A70" s="36">
        <v>44698</v>
      </c>
      <c r="B70">
        <v>15</v>
      </c>
      <c r="C70"/>
      <c r="D70"/>
      <c r="E70" s="51" t="s">
        <v>32</v>
      </c>
      <c r="F70" t="s">
        <v>20</v>
      </c>
    </row>
    <row r="71" spans="1:6" x14ac:dyDescent="0.3">
      <c r="A71" s="36">
        <v>44698</v>
      </c>
      <c r="B71">
        <v>16</v>
      </c>
      <c r="C71"/>
      <c r="D71"/>
      <c r="E71" s="51" t="s">
        <v>32</v>
      </c>
      <c r="F71" t="s">
        <v>20</v>
      </c>
    </row>
    <row r="72" spans="1:6" x14ac:dyDescent="0.3">
      <c r="A72" s="36">
        <v>44698</v>
      </c>
      <c r="B72">
        <v>14</v>
      </c>
      <c r="C72"/>
      <c r="D72"/>
      <c r="E72" s="51" t="s">
        <v>32</v>
      </c>
      <c r="F72" t="s">
        <v>20</v>
      </c>
    </row>
    <row r="73" spans="1:6" x14ac:dyDescent="0.3">
      <c r="A73" s="36">
        <v>44698</v>
      </c>
      <c r="B73">
        <v>17</v>
      </c>
      <c r="C73"/>
      <c r="D73"/>
      <c r="E73" s="51" t="s">
        <v>32</v>
      </c>
      <c r="F73" t="s">
        <v>20</v>
      </c>
    </row>
    <row r="74" spans="1:6" x14ac:dyDescent="0.3">
      <c r="A74" s="36">
        <v>44698</v>
      </c>
      <c r="B74">
        <v>20</v>
      </c>
      <c r="C74"/>
      <c r="D74"/>
      <c r="E74" s="51" t="s">
        <v>32</v>
      </c>
      <c r="F74" t="s">
        <v>20</v>
      </c>
    </row>
    <row r="75" spans="1:6" x14ac:dyDescent="0.3">
      <c r="A75" s="36">
        <v>44698</v>
      </c>
      <c r="B75">
        <v>24</v>
      </c>
      <c r="C75"/>
      <c r="D75"/>
      <c r="E75" s="51" t="s">
        <v>32</v>
      </c>
      <c r="F75" t="s">
        <v>20</v>
      </c>
    </row>
    <row r="76" spans="1:6" x14ac:dyDescent="0.3">
      <c r="A76" s="36">
        <v>44698</v>
      </c>
      <c r="B76">
        <v>26</v>
      </c>
      <c r="C76"/>
      <c r="D76"/>
      <c r="E76" s="51" t="s">
        <v>32</v>
      </c>
      <c r="F76" t="s">
        <v>20</v>
      </c>
    </row>
    <row r="77" spans="1:6" x14ac:dyDescent="0.3">
      <c r="A77" s="36">
        <v>44698</v>
      </c>
      <c r="B77">
        <v>24</v>
      </c>
      <c r="C77"/>
      <c r="D77"/>
      <c r="E77" s="51" t="s">
        <v>32</v>
      </c>
      <c r="F77" t="s">
        <v>20</v>
      </c>
    </row>
    <row r="78" spans="1:6" x14ac:dyDescent="0.3">
      <c r="A78" s="36">
        <v>44698</v>
      </c>
      <c r="B78">
        <v>24</v>
      </c>
      <c r="C78"/>
      <c r="D78"/>
      <c r="E78" s="51" t="s">
        <v>32</v>
      </c>
      <c r="F78" t="s">
        <v>20</v>
      </c>
    </row>
    <row r="79" spans="1:6" x14ac:dyDescent="0.3">
      <c r="A79" s="36">
        <v>44698</v>
      </c>
      <c r="B79">
        <v>25</v>
      </c>
      <c r="C79"/>
      <c r="D79"/>
      <c r="E79" s="51" t="s">
        <v>32</v>
      </c>
      <c r="F79" t="s">
        <v>20</v>
      </c>
    </row>
    <row r="80" spans="1:6" x14ac:dyDescent="0.3">
      <c r="A80" s="36">
        <v>44698</v>
      </c>
      <c r="B80">
        <v>13</v>
      </c>
      <c r="C80"/>
      <c r="D80"/>
      <c r="E80" s="51" t="s">
        <v>32</v>
      </c>
      <c r="F80" t="s">
        <v>20</v>
      </c>
    </row>
    <row r="81" spans="1:6" x14ac:dyDescent="0.3">
      <c r="A81" s="36">
        <v>44698</v>
      </c>
      <c r="B81">
        <v>14</v>
      </c>
      <c r="C81"/>
      <c r="D81"/>
      <c r="E81" s="51" t="s">
        <v>32</v>
      </c>
      <c r="F81" t="s">
        <v>20</v>
      </c>
    </row>
    <row r="82" spans="1:6" x14ac:dyDescent="0.3">
      <c r="A82" s="36">
        <v>44698</v>
      </c>
      <c r="B82">
        <v>19</v>
      </c>
      <c r="C82"/>
      <c r="D82"/>
      <c r="E82" s="51" t="s">
        <v>32</v>
      </c>
      <c r="F82" t="s">
        <v>20</v>
      </c>
    </row>
    <row r="83" spans="1:6" x14ac:dyDescent="0.3">
      <c r="A83" s="36">
        <v>44698</v>
      </c>
      <c r="B83">
        <v>21</v>
      </c>
      <c r="C83"/>
      <c r="D83"/>
      <c r="E83" s="51" t="s">
        <v>32</v>
      </c>
      <c r="F83" t="s">
        <v>20</v>
      </c>
    </row>
    <row r="84" spans="1:6" x14ac:dyDescent="0.3">
      <c r="A84" s="36">
        <v>44698</v>
      </c>
      <c r="B84">
        <v>24</v>
      </c>
      <c r="C84"/>
      <c r="D84"/>
      <c r="E84" s="51" t="s">
        <v>32</v>
      </c>
      <c r="F84" t="s">
        <v>20</v>
      </c>
    </row>
    <row r="85" spans="1:6" x14ac:dyDescent="0.3">
      <c r="A85" s="36">
        <v>44698</v>
      </c>
      <c r="B85">
        <v>18</v>
      </c>
      <c r="C85">
        <v>18</v>
      </c>
      <c r="D85">
        <v>0</v>
      </c>
      <c r="E85" s="51" t="s">
        <v>32</v>
      </c>
      <c r="F85" t="s">
        <v>20</v>
      </c>
    </row>
    <row r="86" spans="1:6" x14ac:dyDescent="0.3">
      <c r="A86" s="36">
        <v>44698</v>
      </c>
      <c r="B86">
        <v>21</v>
      </c>
      <c r="C86"/>
      <c r="D86"/>
      <c r="E86" s="51" t="s">
        <v>32</v>
      </c>
      <c r="F86" t="s">
        <v>20</v>
      </c>
    </row>
    <row r="87" spans="1:6" x14ac:dyDescent="0.3">
      <c r="A87" s="37">
        <v>44862</v>
      </c>
      <c r="B87">
        <v>9</v>
      </c>
      <c r="C87"/>
      <c r="D87"/>
      <c r="E87" s="51" t="s">
        <v>32</v>
      </c>
      <c r="F87" t="s">
        <v>20</v>
      </c>
    </row>
    <row r="88" spans="1:6" x14ac:dyDescent="0.3">
      <c r="A88" s="37">
        <v>44862</v>
      </c>
      <c r="B88">
        <v>11</v>
      </c>
      <c r="C88"/>
      <c r="D88"/>
      <c r="E88" s="51" t="s">
        <v>32</v>
      </c>
      <c r="F88" t="s">
        <v>20</v>
      </c>
    </row>
    <row r="89" spans="1:6" x14ac:dyDescent="0.3">
      <c r="A89" s="37">
        <v>44862</v>
      </c>
      <c r="B89">
        <v>11</v>
      </c>
      <c r="C89"/>
      <c r="D89"/>
      <c r="E89" s="51" t="s">
        <v>32</v>
      </c>
      <c r="F89" t="s">
        <v>20</v>
      </c>
    </row>
    <row r="90" spans="1:6" x14ac:dyDescent="0.3">
      <c r="A90" s="37">
        <v>44862</v>
      </c>
      <c r="B90">
        <v>11</v>
      </c>
      <c r="C90"/>
      <c r="D90"/>
      <c r="E90" s="51" t="s">
        <v>32</v>
      </c>
      <c r="F90" t="s">
        <v>20</v>
      </c>
    </row>
    <row r="91" spans="1:6" x14ac:dyDescent="0.3">
      <c r="A91" s="37">
        <v>44862</v>
      </c>
      <c r="B91">
        <v>12</v>
      </c>
      <c r="C91"/>
      <c r="D91"/>
      <c r="E91" s="51" t="s">
        <v>32</v>
      </c>
      <c r="F91" t="s">
        <v>20</v>
      </c>
    </row>
    <row r="92" spans="1:6" x14ac:dyDescent="0.3">
      <c r="A92" s="37">
        <v>44862</v>
      </c>
      <c r="B92">
        <v>10</v>
      </c>
      <c r="C92"/>
      <c r="D92"/>
      <c r="E92" s="51" t="s">
        <v>32</v>
      </c>
      <c r="F92" t="s">
        <v>20</v>
      </c>
    </row>
    <row r="93" spans="1:6" x14ac:dyDescent="0.3">
      <c r="A93" s="37">
        <v>44862</v>
      </c>
      <c r="B93">
        <v>10</v>
      </c>
      <c r="C93"/>
      <c r="D93"/>
      <c r="E93" s="51" t="s">
        <v>32</v>
      </c>
      <c r="F93" t="s">
        <v>20</v>
      </c>
    </row>
    <row r="94" spans="1:6" x14ac:dyDescent="0.3">
      <c r="A94" s="37">
        <v>44862</v>
      </c>
      <c r="B94">
        <v>13</v>
      </c>
      <c r="C94"/>
      <c r="D94"/>
      <c r="E94" s="51" t="s">
        <v>32</v>
      </c>
      <c r="F94" t="s">
        <v>20</v>
      </c>
    </row>
    <row r="95" spans="1:6" x14ac:dyDescent="0.3">
      <c r="A95" s="37">
        <v>44862</v>
      </c>
      <c r="B95">
        <v>10</v>
      </c>
      <c r="C95"/>
      <c r="D95"/>
      <c r="E95" s="51" t="s">
        <v>32</v>
      </c>
      <c r="F95" t="s">
        <v>20</v>
      </c>
    </row>
    <row r="96" spans="1:6" x14ac:dyDescent="0.3">
      <c r="A96" s="37">
        <v>44862</v>
      </c>
      <c r="B96">
        <v>11</v>
      </c>
      <c r="C96"/>
      <c r="D96"/>
      <c r="E96" s="51" t="s">
        <v>32</v>
      </c>
      <c r="F96" t="s">
        <v>20</v>
      </c>
    </row>
    <row r="97" spans="1:6" x14ac:dyDescent="0.3">
      <c r="A97" s="37">
        <v>44862</v>
      </c>
      <c r="B97">
        <v>12</v>
      </c>
      <c r="C97"/>
      <c r="D97"/>
      <c r="E97" s="51" t="s">
        <v>32</v>
      </c>
      <c r="F97" t="s">
        <v>20</v>
      </c>
    </row>
    <row r="98" spans="1:6" x14ac:dyDescent="0.3">
      <c r="A98" s="37">
        <v>44862</v>
      </c>
      <c r="B98">
        <v>13</v>
      </c>
      <c r="C98"/>
      <c r="D98"/>
      <c r="E98" s="51" t="s">
        <v>32</v>
      </c>
      <c r="F98" t="s">
        <v>20</v>
      </c>
    </row>
    <row r="99" spans="1:6" x14ac:dyDescent="0.3">
      <c r="A99" s="37">
        <v>44862</v>
      </c>
      <c r="B99">
        <v>12</v>
      </c>
      <c r="C99"/>
      <c r="D99"/>
      <c r="E99" s="51" t="s">
        <v>32</v>
      </c>
      <c r="F99" t="s">
        <v>20</v>
      </c>
    </row>
    <row r="100" spans="1:6" x14ac:dyDescent="0.3">
      <c r="A100" s="37">
        <v>44862</v>
      </c>
      <c r="B100">
        <v>12</v>
      </c>
      <c r="C100"/>
      <c r="D100"/>
      <c r="E100" s="51" t="s">
        <v>32</v>
      </c>
      <c r="F100" t="s">
        <v>20</v>
      </c>
    </row>
    <row r="101" spans="1:6" x14ac:dyDescent="0.3">
      <c r="A101" s="37">
        <v>44862</v>
      </c>
      <c r="B101">
        <v>12</v>
      </c>
      <c r="C101"/>
      <c r="D101"/>
      <c r="E101" s="51" t="s">
        <v>32</v>
      </c>
      <c r="F101" t="s">
        <v>20</v>
      </c>
    </row>
    <row r="102" spans="1:6" x14ac:dyDescent="0.3">
      <c r="A102" s="37">
        <v>44862</v>
      </c>
      <c r="B102">
        <v>10</v>
      </c>
      <c r="C102"/>
      <c r="D102"/>
      <c r="E102" s="51" t="s">
        <v>32</v>
      </c>
      <c r="F102" t="s">
        <v>20</v>
      </c>
    </row>
    <row r="103" spans="1:6" x14ac:dyDescent="0.3">
      <c r="A103" s="37">
        <v>44862</v>
      </c>
      <c r="B103">
        <v>11</v>
      </c>
      <c r="C103"/>
      <c r="D103"/>
      <c r="E103" s="51" t="s">
        <v>32</v>
      </c>
      <c r="F103" t="s">
        <v>20</v>
      </c>
    </row>
    <row r="104" spans="1:6" x14ac:dyDescent="0.3">
      <c r="A104" s="37">
        <v>44862</v>
      </c>
      <c r="B104">
        <v>11</v>
      </c>
      <c r="C104"/>
      <c r="D104"/>
      <c r="E104" s="51" t="s">
        <v>32</v>
      </c>
      <c r="F104" t="s">
        <v>20</v>
      </c>
    </row>
    <row r="105" spans="1:6" x14ac:dyDescent="0.3">
      <c r="A105" s="37">
        <v>44862</v>
      </c>
      <c r="B105">
        <v>11</v>
      </c>
      <c r="C105"/>
      <c r="D105"/>
      <c r="E105" s="51" t="s">
        <v>32</v>
      </c>
      <c r="F105" t="s">
        <v>20</v>
      </c>
    </row>
    <row r="106" spans="1:6" x14ac:dyDescent="0.3">
      <c r="A106" s="37">
        <v>44862</v>
      </c>
      <c r="B106">
        <v>11</v>
      </c>
      <c r="C106"/>
      <c r="D106"/>
      <c r="E106" s="51" t="s">
        <v>32</v>
      </c>
      <c r="F106" t="s">
        <v>20</v>
      </c>
    </row>
    <row r="107" spans="1:6" x14ac:dyDescent="0.3">
      <c r="A107" s="37">
        <v>44862</v>
      </c>
      <c r="B107">
        <v>11</v>
      </c>
      <c r="C107"/>
      <c r="D107"/>
      <c r="E107" s="51" t="s">
        <v>32</v>
      </c>
      <c r="F107" t="s">
        <v>20</v>
      </c>
    </row>
    <row r="108" spans="1:6" x14ac:dyDescent="0.3">
      <c r="A108" s="37">
        <v>44862</v>
      </c>
      <c r="B108">
        <v>12</v>
      </c>
      <c r="C108"/>
      <c r="D108"/>
      <c r="E108" s="51" t="s">
        <v>32</v>
      </c>
      <c r="F108" t="s">
        <v>20</v>
      </c>
    </row>
    <row r="109" spans="1:6" x14ac:dyDescent="0.3">
      <c r="A109" s="37">
        <v>44862</v>
      </c>
      <c r="B109">
        <v>10</v>
      </c>
      <c r="C109"/>
      <c r="D109"/>
      <c r="E109" s="51" t="s">
        <v>32</v>
      </c>
      <c r="F109" t="s">
        <v>20</v>
      </c>
    </row>
    <row r="110" spans="1:6" x14ac:dyDescent="0.3">
      <c r="A110" s="37">
        <v>44862</v>
      </c>
      <c r="B110">
        <v>12</v>
      </c>
      <c r="C110"/>
      <c r="D110"/>
      <c r="E110" s="51" t="s">
        <v>32</v>
      </c>
      <c r="F110" t="s">
        <v>20</v>
      </c>
    </row>
    <row r="111" spans="1:6" x14ac:dyDescent="0.3">
      <c r="A111" s="37">
        <v>44862</v>
      </c>
      <c r="B111">
        <v>10</v>
      </c>
      <c r="C111"/>
      <c r="D111"/>
      <c r="E111" s="51" t="s">
        <v>32</v>
      </c>
      <c r="F111" t="s">
        <v>20</v>
      </c>
    </row>
    <row r="112" spans="1:6" x14ac:dyDescent="0.3">
      <c r="A112" s="37">
        <v>44862</v>
      </c>
      <c r="B112">
        <v>11</v>
      </c>
      <c r="C112"/>
      <c r="D112"/>
      <c r="E112" s="51" t="s">
        <v>32</v>
      </c>
      <c r="F112" t="s">
        <v>20</v>
      </c>
    </row>
    <row r="113" spans="1:6" x14ac:dyDescent="0.3">
      <c r="A113" s="37">
        <v>44862</v>
      </c>
      <c r="B113">
        <v>10</v>
      </c>
      <c r="C113"/>
      <c r="D113"/>
      <c r="E113" s="51" t="s">
        <v>32</v>
      </c>
      <c r="F113" t="s">
        <v>20</v>
      </c>
    </row>
    <row r="114" spans="1:6" x14ac:dyDescent="0.3">
      <c r="A114" s="37">
        <v>44862</v>
      </c>
      <c r="B114">
        <v>9</v>
      </c>
      <c r="C114"/>
      <c r="D114"/>
      <c r="E114" s="51" t="s">
        <v>32</v>
      </c>
      <c r="F114" t="s">
        <v>20</v>
      </c>
    </row>
    <row r="115" spans="1:6" x14ac:dyDescent="0.3">
      <c r="A115" s="37">
        <v>44862</v>
      </c>
      <c r="B115">
        <v>11</v>
      </c>
      <c r="C115"/>
      <c r="D115"/>
      <c r="E115" s="51" t="s">
        <v>32</v>
      </c>
      <c r="F115" t="s">
        <v>20</v>
      </c>
    </row>
    <row r="116" spans="1:6" x14ac:dyDescent="0.3">
      <c r="A116" s="37">
        <v>44862</v>
      </c>
      <c r="B116">
        <v>11</v>
      </c>
      <c r="C116"/>
      <c r="D116"/>
      <c r="E116" s="51" t="s">
        <v>32</v>
      </c>
      <c r="F116" t="s">
        <v>20</v>
      </c>
    </row>
    <row r="117" spans="1:6" x14ac:dyDescent="0.3">
      <c r="A117" s="37">
        <v>44862</v>
      </c>
      <c r="B117">
        <v>11</v>
      </c>
      <c r="C117"/>
      <c r="D117"/>
      <c r="E117" s="51" t="s">
        <v>32</v>
      </c>
      <c r="F117" t="s">
        <v>20</v>
      </c>
    </row>
    <row r="118" spans="1:6" x14ac:dyDescent="0.3">
      <c r="A118" s="37">
        <v>44862</v>
      </c>
      <c r="B118">
        <v>11</v>
      </c>
      <c r="C118"/>
      <c r="D118"/>
      <c r="E118" s="51" t="s">
        <v>32</v>
      </c>
      <c r="F118" t="s">
        <v>20</v>
      </c>
    </row>
    <row r="119" spans="1:6" x14ac:dyDescent="0.3">
      <c r="A119" s="37">
        <v>44862</v>
      </c>
      <c r="B119">
        <v>12</v>
      </c>
      <c r="C119"/>
      <c r="D119"/>
      <c r="E119" s="51" t="s">
        <v>32</v>
      </c>
      <c r="F119" t="s">
        <v>20</v>
      </c>
    </row>
    <row r="120" spans="1:6" x14ac:dyDescent="0.3">
      <c r="A120" s="37">
        <v>44862</v>
      </c>
      <c r="B120">
        <v>10</v>
      </c>
      <c r="C120"/>
      <c r="D120"/>
      <c r="E120" s="51" t="s">
        <v>32</v>
      </c>
      <c r="F120" t="s">
        <v>20</v>
      </c>
    </row>
    <row r="121" spans="1:6" x14ac:dyDescent="0.3">
      <c r="A121" s="37">
        <v>44862</v>
      </c>
      <c r="B121">
        <v>10</v>
      </c>
      <c r="C121"/>
      <c r="D121"/>
      <c r="E121" s="51" t="s">
        <v>32</v>
      </c>
      <c r="F121" t="s">
        <v>20</v>
      </c>
    </row>
    <row r="122" spans="1:6" x14ac:dyDescent="0.3">
      <c r="A122" s="37">
        <v>44862</v>
      </c>
      <c r="B122">
        <v>11</v>
      </c>
      <c r="C122"/>
      <c r="D122"/>
      <c r="E122" s="51" t="s">
        <v>32</v>
      </c>
      <c r="F122" t="s">
        <v>20</v>
      </c>
    </row>
    <row r="123" spans="1:6" x14ac:dyDescent="0.3">
      <c r="A123" s="37">
        <v>44862</v>
      </c>
      <c r="B123">
        <v>11</v>
      </c>
      <c r="C123"/>
      <c r="D123"/>
      <c r="E123" s="51" t="s">
        <v>32</v>
      </c>
      <c r="F123" t="s">
        <v>20</v>
      </c>
    </row>
    <row r="124" spans="1:6" x14ac:dyDescent="0.3">
      <c r="A124" s="37">
        <v>44862</v>
      </c>
      <c r="B124">
        <v>10</v>
      </c>
      <c r="C124"/>
      <c r="D124"/>
      <c r="E124" s="51" t="s">
        <v>32</v>
      </c>
      <c r="F124" t="s">
        <v>20</v>
      </c>
    </row>
    <row r="125" spans="1:6" x14ac:dyDescent="0.3">
      <c r="A125" s="37">
        <v>44862</v>
      </c>
      <c r="B125">
        <v>12</v>
      </c>
      <c r="C125"/>
      <c r="D125"/>
      <c r="E125" s="51" t="s">
        <v>32</v>
      </c>
      <c r="F125" t="s">
        <v>20</v>
      </c>
    </row>
    <row r="126" spans="1:6" x14ac:dyDescent="0.3">
      <c r="A126" s="37">
        <v>44862</v>
      </c>
      <c r="B126">
        <v>12</v>
      </c>
      <c r="C126"/>
      <c r="D126"/>
      <c r="E126" s="51" t="s">
        <v>32</v>
      </c>
      <c r="F126" t="s">
        <v>20</v>
      </c>
    </row>
    <row r="127" spans="1:6" x14ac:dyDescent="0.3">
      <c r="A127" s="37">
        <v>44862</v>
      </c>
      <c r="B127">
        <v>12</v>
      </c>
      <c r="C127"/>
      <c r="D127"/>
      <c r="E127" s="51" t="s">
        <v>32</v>
      </c>
      <c r="F127" t="s">
        <v>20</v>
      </c>
    </row>
    <row r="128" spans="1:6" x14ac:dyDescent="0.3">
      <c r="A128" s="37">
        <v>44862</v>
      </c>
      <c r="B128">
        <v>11</v>
      </c>
      <c r="C128"/>
      <c r="D128"/>
      <c r="E128" s="51" t="s">
        <v>32</v>
      </c>
      <c r="F128" t="s">
        <v>20</v>
      </c>
    </row>
    <row r="129" spans="1:6" x14ac:dyDescent="0.3">
      <c r="A129" s="37">
        <v>44862</v>
      </c>
      <c r="B129">
        <v>11</v>
      </c>
      <c r="C129"/>
      <c r="D129"/>
      <c r="E129" s="51" t="s">
        <v>32</v>
      </c>
      <c r="F129" t="s">
        <v>20</v>
      </c>
    </row>
    <row r="130" spans="1:6" x14ac:dyDescent="0.3">
      <c r="A130" s="37">
        <v>44862</v>
      </c>
      <c r="B130">
        <v>9</v>
      </c>
      <c r="C130"/>
      <c r="D130"/>
      <c r="E130" s="51" t="s">
        <v>32</v>
      </c>
      <c r="F130" t="s">
        <v>20</v>
      </c>
    </row>
    <row r="131" spans="1:6" x14ac:dyDescent="0.3">
      <c r="A131" s="37">
        <v>44862</v>
      </c>
      <c r="B131">
        <v>12</v>
      </c>
      <c r="C131"/>
      <c r="D131"/>
      <c r="E131" s="51" t="s">
        <v>32</v>
      </c>
      <c r="F131" t="s">
        <v>20</v>
      </c>
    </row>
    <row r="132" spans="1:6" x14ac:dyDescent="0.3">
      <c r="A132" s="37">
        <v>44862</v>
      </c>
      <c r="B132">
        <v>9</v>
      </c>
      <c r="C132"/>
      <c r="D132"/>
      <c r="E132" s="51" t="s">
        <v>32</v>
      </c>
      <c r="F132" t="s">
        <v>20</v>
      </c>
    </row>
    <row r="133" spans="1:6" x14ac:dyDescent="0.3">
      <c r="A133" s="37">
        <v>44862</v>
      </c>
      <c r="B133">
        <v>10</v>
      </c>
      <c r="C133"/>
      <c r="D133"/>
      <c r="E133" s="51" t="s">
        <v>32</v>
      </c>
      <c r="F133" t="s">
        <v>20</v>
      </c>
    </row>
    <row r="134" spans="1:6" x14ac:dyDescent="0.3">
      <c r="A134" s="37">
        <v>44862</v>
      </c>
      <c r="B134">
        <v>10</v>
      </c>
      <c r="C134"/>
      <c r="D134"/>
      <c r="E134" s="51" t="s">
        <v>32</v>
      </c>
      <c r="F134" t="s">
        <v>20</v>
      </c>
    </row>
    <row r="135" spans="1:6" x14ac:dyDescent="0.3">
      <c r="A135" s="37">
        <v>44862</v>
      </c>
      <c r="B135">
        <v>10</v>
      </c>
      <c r="C135"/>
      <c r="D135"/>
      <c r="E135" s="51" t="s">
        <v>32</v>
      </c>
      <c r="F135" t="s">
        <v>20</v>
      </c>
    </row>
    <row r="136" spans="1:6" x14ac:dyDescent="0.3">
      <c r="A136" s="37">
        <v>44862</v>
      </c>
      <c r="B136">
        <v>11</v>
      </c>
      <c r="C136"/>
      <c r="D136"/>
      <c r="E136" s="51" t="s">
        <v>32</v>
      </c>
      <c r="F136" t="s">
        <v>20</v>
      </c>
    </row>
    <row r="137" spans="1:6" x14ac:dyDescent="0.3">
      <c r="A137" s="37">
        <v>44862</v>
      </c>
      <c r="B137">
        <v>11</v>
      </c>
      <c r="C137"/>
      <c r="D137"/>
      <c r="E137" s="51" t="s">
        <v>32</v>
      </c>
      <c r="F137" t="s">
        <v>20</v>
      </c>
    </row>
    <row r="138" spans="1:6" x14ac:dyDescent="0.3">
      <c r="A138" s="37">
        <v>44862</v>
      </c>
      <c r="B138">
        <v>11</v>
      </c>
      <c r="C138"/>
      <c r="D138"/>
      <c r="E138" s="51" t="s">
        <v>32</v>
      </c>
      <c r="F138" t="s">
        <v>20</v>
      </c>
    </row>
    <row r="139" spans="1:6" x14ac:dyDescent="0.3">
      <c r="A139" s="37">
        <v>44862</v>
      </c>
      <c r="B139">
        <v>9</v>
      </c>
      <c r="C139"/>
      <c r="D139"/>
      <c r="E139" s="51" t="s">
        <v>32</v>
      </c>
      <c r="F139" t="s">
        <v>20</v>
      </c>
    </row>
    <row r="140" spans="1:6" x14ac:dyDescent="0.3">
      <c r="A140" s="37">
        <v>44862</v>
      </c>
      <c r="B140">
        <v>10</v>
      </c>
      <c r="C140"/>
      <c r="D140"/>
      <c r="E140" s="51" t="s">
        <v>32</v>
      </c>
      <c r="F140" t="s">
        <v>20</v>
      </c>
    </row>
    <row r="141" spans="1:6" x14ac:dyDescent="0.3">
      <c r="A141" s="37">
        <v>44862</v>
      </c>
      <c r="B141">
        <v>11</v>
      </c>
      <c r="C141"/>
      <c r="D141"/>
      <c r="E141" s="51" t="s">
        <v>32</v>
      </c>
      <c r="F141" t="s">
        <v>20</v>
      </c>
    </row>
    <row r="142" spans="1:6" x14ac:dyDescent="0.3">
      <c r="A142" s="37">
        <v>44862</v>
      </c>
      <c r="B142">
        <v>11</v>
      </c>
      <c r="C142"/>
      <c r="D142"/>
      <c r="E142" s="51" t="s">
        <v>32</v>
      </c>
      <c r="F142" t="s">
        <v>20</v>
      </c>
    </row>
    <row r="143" spans="1:6" x14ac:dyDescent="0.3">
      <c r="A143" s="37">
        <v>44862</v>
      </c>
      <c r="B143">
        <v>9</v>
      </c>
      <c r="C143"/>
      <c r="D143"/>
      <c r="E143" s="51" t="s">
        <v>32</v>
      </c>
      <c r="F143" t="s">
        <v>20</v>
      </c>
    </row>
    <row r="144" spans="1:6" x14ac:dyDescent="0.3">
      <c r="A144" s="37">
        <v>44862</v>
      </c>
      <c r="B144">
        <v>9</v>
      </c>
      <c r="C144"/>
      <c r="D144"/>
      <c r="E144" s="51" t="s">
        <v>32</v>
      </c>
      <c r="F144" t="s">
        <v>20</v>
      </c>
    </row>
    <row r="145" spans="1:6" x14ac:dyDescent="0.3">
      <c r="A145" s="37">
        <v>44862</v>
      </c>
      <c r="B145">
        <v>10</v>
      </c>
      <c r="C145"/>
      <c r="D145"/>
      <c r="E145" s="51" t="s">
        <v>32</v>
      </c>
      <c r="F145" t="s">
        <v>20</v>
      </c>
    </row>
    <row r="146" spans="1:6" x14ac:dyDescent="0.3">
      <c r="A146" s="37">
        <v>44862</v>
      </c>
      <c r="B146">
        <v>10</v>
      </c>
      <c r="C146"/>
      <c r="D146"/>
      <c r="E146" s="51" t="s">
        <v>32</v>
      </c>
      <c r="F146" t="s">
        <v>20</v>
      </c>
    </row>
    <row r="147" spans="1:6" x14ac:dyDescent="0.3">
      <c r="A147" s="37">
        <v>44862</v>
      </c>
      <c r="B147">
        <v>11</v>
      </c>
      <c r="C147"/>
      <c r="D147"/>
      <c r="E147" s="51" t="s">
        <v>32</v>
      </c>
      <c r="F147" t="s">
        <v>20</v>
      </c>
    </row>
    <row r="148" spans="1:6" x14ac:dyDescent="0.3">
      <c r="A148" s="37">
        <v>44862</v>
      </c>
      <c r="B148">
        <v>12</v>
      </c>
      <c r="C148"/>
      <c r="D148"/>
      <c r="E148" s="51" t="s">
        <v>32</v>
      </c>
      <c r="F148" t="s">
        <v>20</v>
      </c>
    </row>
    <row r="149" spans="1:6" x14ac:dyDescent="0.3">
      <c r="A149" s="37">
        <v>44862</v>
      </c>
      <c r="B149">
        <v>4</v>
      </c>
      <c r="C149"/>
      <c r="D149"/>
      <c r="E149" s="51" t="s">
        <v>32</v>
      </c>
      <c r="F149" t="s">
        <v>20</v>
      </c>
    </row>
    <row r="150" spans="1:6" x14ac:dyDescent="0.3">
      <c r="A150" s="36">
        <v>44525</v>
      </c>
      <c r="B150">
        <v>17</v>
      </c>
      <c r="C150">
        <v>17</v>
      </c>
      <c r="D150" s="17">
        <v>17</v>
      </c>
      <c r="E150" s="51" t="s">
        <v>32</v>
      </c>
      <c r="F150" t="s">
        <v>21</v>
      </c>
    </row>
    <row r="151" spans="1:6" x14ac:dyDescent="0.3">
      <c r="A151" s="36">
        <v>44525</v>
      </c>
      <c r="B151">
        <v>16</v>
      </c>
      <c r="C151">
        <v>16</v>
      </c>
      <c r="D151" s="17">
        <v>16</v>
      </c>
      <c r="E151" s="51" t="s">
        <v>32</v>
      </c>
      <c r="F151" t="s">
        <v>21</v>
      </c>
    </row>
    <row r="152" spans="1:6" x14ac:dyDescent="0.3">
      <c r="A152" s="36">
        <v>44525</v>
      </c>
      <c r="B152">
        <v>16</v>
      </c>
      <c r="C152">
        <v>16</v>
      </c>
      <c r="D152" s="17">
        <v>16</v>
      </c>
      <c r="E152" s="51" t="s">
        <v>32</v>
      </c>
      <c r="F152" t="s">
        <v>21</v>
      </c>
    </row>
    <row r="153" spans="1:6" x14ac:dyDescent="0.3">
      <c r="A153" s="36">
        <v>44525</v>
      </c>
      <c r="B153">
        <v>15</v>
      </c>
      <c r="C153">
        <v>15</v>
      </c>
      <c r="D153" s="17">
        <v>15</v>
      </c>
      <c r="E153" s="51" t="s">
        <v>32</v>
      </c>
      <c r="F153" t="s">
        <v>21</v>
      </c>
    </row>
    <row r="154" spans="1:6" x14ac:dyDescent="0.3">
      <c r="A154" s="36">
        <v>44525</v>
      </c>
      <c r="B154">
        <v>16</v>
      </c>
      <c r="C154">
        <v>16</v>
      </c>
      <c r="D154" s="17">
        <v>16</v>
      </c>
      <c r="E154" s="51" t="s">
        <v>32</v>
      </c>
      <c r="F154" t="s">
        <v>21</v>
      </c>
    </row>
    <row r="155" spans="1:6" x14ac:dyDescent="0.3">
      <c r="A155" s="36">
        <v>44525</v>
      </c>
      <c r="B155">
        <v>15</v>
      </c>
      <c r="C155">
        <v>15</v>
      </c>
      <c r="D155" s="17">
        <v>15</v>
      </c>
      <c r="E155" s="51" t="s">
        <v>32</v>
      </c>
      <c r="F155" t="s">
        <v>21</v>
      </c>
    </row>
    <row r="156" spans="1:6" x14ac:dyDescent="0.3">
      <c r="A156" s="36">
        <v>44525</v>
      </c>
      <c r="B156">
        <v>17</v>
      </c>
      <c r="C156">
        <v>17</v>
      </c>
      <c r="D156" s="17">
        <v>17</v>
      </c>
      <c r="E156" s="51" t="s">
        <v>32</v>
      </c>
      <c r="F156" t="s">
        <v>21</v>
      </c>
    </row>
    <row r="157" spans="1:6" x14ac:dyDescent="0.3">
      <c r="A157" s="36">
        <v>44525</v>
      </c>
      <c r="B157">
        <v>18</v>
      </c>
      <c r="C157">
        <v>18</v>
      </c>
      <c r="D157" s="17">
        <v>18</v>
      </c>
      <c r="E157" s="51" t="s">
        <v>32</v>
      </c>
      <c r="F157" t="s">
        <v>21</v>
      </c>
    </row>
    <row r="158" spans="1:6" x14ac:dyDescent="0.3">
      <c r="A158" s="36">
        <v>44525</v>
      </c>
      <c r="B158">
        <v>19</v>
      </c>
      <c r="C158">
        <v>19</v>
      </c>
      <c r="D158" s="17">
        <v>19</v>
      </c>
      <c r="E158" s="51" t="s">
        <v>32</v>
      </c>
      <c r="F158" t="s">
        <v>21</v>
      </c>
    </row>
    <row r="159" spans="1:6" x14ac:dyDescent="0.3">
      <c r="A159" s="36">
        <v>44525</v>
      </c>
      <c r="B159">
        <v>18</v>
      </c>
      <c r="C159">
        <v>18</v>
      </c>
      <c r="D159" s="17">
        <v>18</v>
      </c>
      <c r="E159" s="51" t="s">
        <v>32</v>
      </c>
      <c r="F159" t="s">
        <v>21</v>
      </c>
    </row>
    <row r="160" spans="1:6" x14ac:dyDescent="0.3">
      <c r="A160" s="36">
        <v>44525</v>
      </c>
      <c r="B160">
        <v>18</v>
      </c>
      <c r="C160">
        <v>18</v>
      </c>
      <c r="E160" s="51" t="s">
        <v>32</v>
      </c>
      <c r="F160" t="s">
        <v>21</v>
      </c>
    </row>
    <row r="161" spans="1:6" x14ac:dyDescent="0.3">
      <c r="A161" s="36">
        <v>44525</v>
      </c>
      <c r="B161">
        <v>20</v>
      </c>
      <c r="C161">
        <v>20</v>
      </c>
      <c r="E161" s="51" t="s">
        <v>32</v>
      </c>
      <c r="F161" t="s">
        <v>21</v>
      </c>
    </row>
    <row r="162" spans="1:6" x14ac:dyDescent="0.3">
      <c r="A162" s="36">
        <v>44525</v>
      </c>
      <c r="B162">
        <v>19</v>
      </c>
      <c r="C162">
        <v>19</v>
      </c>
      <c r="E162" s="51" t="s">
        <v>32</v>
      </c>
      <c r="F162" t="s">
        <v>21</v>
      </c>
    </row>
    <row r="163" spans="1:6" x14ac:dyDescent="0.3">
      <c r="A163" s="36">
        <v>44525</v>
      </c>
      <c r="B163">
        <v>17</v>
      </c>
      <c r="C163">
        <v>17</v>
      </c>
      <c r="D163" s="17">
        <v>17</v>
      </c>
      <c r="E163" s="51" t="s">
        <v>32</v>
      </c>
      <c r="F163" t="s">
        <v>21</v>
      </c>
    </row>
    <row r="164" spans="1:6" x14ac:dyDescent="0.3">
      <c r="A164" s="36">
        <v>44525</v>
      </c>
      <c r="B164">
        <v>18</v>
      </c>
      <c r="C164">
        <v>18</v>
      </c>
      <c r="E164" s="51" t="s">
        <v>32</v>
      </c>
      <c r="F164" t="s">
        <v>21</v>
      </c>
    </row>
    <row r="165" spans="1:6" x14ac:dyDescent="0.3">
      <c r="A165" s="36">
        <v>44525</v>
      </c>
      <c r="B165">
        <v>18</v>
      </c>
      <c r="C165">
        <v>18</v>
      </c>
      <c r="E165" s="51" t="s">
        <v>32</v>
      </c>
      <c r="F165" t="s">
        <v>21</v>
      </c>
    </row>
    <row r="166" spans="1:6" x14ac:dyDescent="0.3">
      <c r="A166" s="36">
        <v>44525</v>
      </c>
      <c r="B166">
        <v>17</v>
      </c>
      <c r="C166">
        <v>17</v>
      </c>
      <c r="D166" s="17">
        <v>17</v>
      </c>
      <c r="E166" s="51" t="s">
        <v>32</v>
      </c>
      <c r="F166" t="s">
        <v>21</v>
      </c>
    </row>
    <row r="167" spans="1:6" x14ac:dyDescent="0.3">
      <c r="A167" s="36">
        <v>44525</v>
      </c>
      <c r="B167">
        <v>19</v>
      </c>
      <c r="C167">
        <v>19</v>
      </c>
      <c r="D167" s="17">
        <v>19</v>
      </c>
      <c r="E167" s="51" t="s">
        <v>32</v>
      </c>
      <c r="F167" t="s">
        <v>21</v>
      </c>
    </row>
    <row r="168" spans="1:6" x14ac:dyDescent="0.3">
      <c r="A168" s="36">
        <v>44525</v>
      </c>
      <c r="B168">
        <v>18</v>
      </c>
      <c r="C168">
        <v>18</v>
      </c>
      <c r="E168" s="51" t="s">
        <v>32</v>
      </c>
      <c r="F168" t="s">
        <v>21</v>
      </c>
    </row>
    <row r="169" spans="1:6" x14ac:dyDescent="0.3">
      <c r="A169" s="36">
        <v>44525</v>
      </c>
      <c r="B169">
        <v>18</v>
      </c>
      <c r="C169">
        <v>18</v>
      </c>
      <c r="E169" s="51" t="s">
        <v>32</v>
      </c>
      <c r="F169" t="s">
        <v>21</v>
      </c>
    </row>
    <row r="170" spans="1:6" x14ac:dyDescent="0.3">
      <c r="A170" s="36">
        <v>44558</v>
      </c>
      <c r="B170">
        <v>17</v>
      </c>
      <c r="C170">
        <v>17</v>
      </c>
      <c r="D170" s="17">
        <v>0</v>
      </c>
      <c r="E170" s="51" t="s">
        <v>32</v>
      </c>
      <c r="F170" t="s">
        <v>21</v>
      </c>
    </row>
    <row r="171" spans="1:6" x14ac:dyDescent="0.3">
      <c r="A171" s="36">
        <v>44558</v>
      </c>
      <c r="B171">
        <v>13</v>
      </c>
      <c r="C171">
        <v>13</v>
      </c>
      <c r="D171" s="17">
        <v>0</v>
      </c>
      <c r="E171" s="51" t="s">
        <v>32</v>
      </c>
      <c r="F171" t="s">
        <v>21</v>
      </c>
    </row>
    <row r="172" spans="1:6" x14ac:dyDescent="0.3">
      <c r="A172" s="36">
        <v>44558</v>
      </c>
      <c r="B172">
        <v>12</v>
      </c>
      <c r="C172">
        <v>12</v>
      </c>
      <c r="D172" s="17">
        <v>0</v>
      </c>
      <c r="E172" s="51" t="s">
        <v>32</v>
      </c>
      <c r="F172" t="s">
        <v>21</v>
      </c>
    </row>
    <row r="173" spans="1:6" x14ac:dyDescent="0.3">
      <c r="A173" s="36">
        <v>44558</v>
      </c>
      <c r="B173">
        <v>15</v>
      </c>
      <c r="C173">
        <v>15</v>
      </c>
      <c r="D173" s="17">
        <v>0</v>
      </c>
      <c r="E173" s="51" t="s">
        <v>32</v>
      </c>
      <c r="F173" t="s">
        <v>21</v>
      </c>
    </row>
    <row r="174" spans="1:6" x14ac:dyDescent="0.3">
      <c r="A174" s="36">
        <v>44558</v>
      </c>
      <c r="B174">
        <v>15</v>
      </c>
      <c r="C174">
        <v>15</v>
      </c>
      <c r="D174" s="17">
        <v>0</v>
      </c>
      <c r="E174" s="51" t="s">
        <v>32</v>
      </c>
      <c r="F174" t="s">
        <v>21</v>
      </c>
    </row>
    <row r="175" spans="1:6" x14ac:dyDescent="0.3">
      <c r="A175" s="36">
        <v>44558</v>
      </c>
      <c r="B175">
        <v>14</v>
      </c>
      <c r="C175">
        <v>14</v>
      </c>
      <c r="E175" s="51" t="s">
        <v>32</v>
      </c>
      <c r="F175" t="s">
        <v>21</v>
      </c>
    </row>
    <row r="176" spans="1:6" x14ac:dyDescent="0.3">
      <c r="A176" s="36">
        <v>44558</v>
      </c>
      <c r="B176">
        <v>13</v>
      </c>
      <c r="C176">
        <v>13</v>
      </c>
      <c r="D176" s="17">
        <v>0</v>
      </c>
      <c r="E176" s="51" t="s">
        <v>32</v>
      </c>
      <c r="F176" t="s">
        <v>21</v>
      </c>
    </row>
    <row r="177" spans="1:6" x14ac:dyDescent="0.3">
      <c r="A177" s="36">
        <v>44558</v>
      </c>
      <c r="B177">
        <v>13</v>
      </c>
      <c r="C177">
        <v>13</v>
      </c>
      <c r="E177" s="51" t="s">
        <v>32</v>
      </c>
      <c r="F177" t="s">
        <v>21</v>
      </c>
    </row>
    <row r="178" spans="1:6" x14ac:dyDescent="0.3">
      <c r="A178" s="36">
        <v>44558</v>
      </c>
      <c r="B178">
        <v>11</v>
      </c>
      <c r="C178">
        <v>11</v>
      </c>
      <c r="E178" s="51" t="s">
        <v>32</v>
      </c>
      <c r="F178" t="s">
        <v>21</v>
      </c>
    </row>
    <row r="179" spans="1:6" x14ac:dyDescent="0.3">
      <c r="A179" s="36">
        <v>44558</v>
      </c>
      <c r="B179">
        <v>13</v>
      </c>
      <c r="C179">
        <v>13</v>
      </c>
      <c r="E179" s="51" t="s">
        <v>32</v>
      </c>
      <c r="F179" t="s">
        <v>21</v>
      </c>
    </row>
    <row r="180" spans="1:6" x14ac:dyDescent="0.3">
      <c r="A180" s="36">
        <v>44558</v>
      </c>
      <c r="B180">
        <v>13</v>
      </c>
      <c r="C180">
        <v>13</v>
      </c>
      <c r="E180" s="51" t="s">
        <v>32</v>
      </c>
      <c r="F180" t="s">
        <v>21</v>
      </c>
    </row>
    <row r="181" spans="1:6" x14ac:dyDescent="0.3">
      <c r="A181" s="36">
        <v>44558</v>
      </c>
      <c r="B181">
        <v>12</v>
      </c>
      <c r="C181">
        <v>12</v>
      </c>
      <c r="E181" s="51" t="s">
        <v>32</v>
      </c>
      <c r="F181" t="s">
        <v>21</v>
      </c>
    </row>
    <row r="182" spans="1:6" x14ac:dyDescent="0.3">
      <c r="A182" s="36">
        <v>44558</v>
      </c>
      <c r="B182">
        <v>12</v>
      </c>
      <c r="C182">
        <v>12</v>
      </c>
      <c r="D182" s="17">
        <v>0</v>
      </c>
      <c r="E182" s="51" t="s">
        <v>32</v>
      </c>
      <c r="F182" t="s">
        <v>21</v>
      </c>
    </row>
    <row r="183" spans="1:6" x14ac:dyDescent="0.3">
      <c r="A183" s="36">
        <v>44558</v>
      </c>
      <c r="B183">
        <v>13</v>
      </c>
      <c r="C183">
        <v>13</v>
      </c>
      <c r="E183" s="51" t="s">
        <v>32</v>
      </c>
      <c r="F183" t="s">
        <v>21</v>
      </c>
    </row>
    <row r="184" spans="1:6" x14ac:dyDescent="0.3">
      <c r="A184" s="36">
        <v>44558</v>
      </c>
      <c r="B184">
        <v>12</v>
      </c>
      <c r="C184">
        <v>12</v>
      </c>
      <c r="E184" s="51" t="s">
        <v>32</v>
      </c>
      <c r="F184" t="s">
        <v>21</v>
      </c>
    </row>
    <row r="185" spans="1:6" x14ac:dyDescent="0.3">
      <c r="A185" s="36">
        <v>44558</v>
      </c>
      <c r="B185">
        <v>13</v>
      </c>
      <c r="C185">
        <v>13</v>
      </c>
      <c r="E185" s="51" t="s">
        <v>32</v>
      </c>
      <c r="F185" t="s">
        <v>21</v>
      </c>
    </row>
    <row r="186" spans="1:6" x14ac:dyDescent="0.3">
      <c r="A186" s="36">
        <v>44558</v>
      </c>
      <c r="B186">
        <v>13</v>
      </c>
      <c r="C186">
        <v>13</v>
      </c>
      <c r="D186" s="17">
        <v>0</v>
      </c>
      <c r="E186" s="51" t="s">
        <v>32</v>
      </c>
      <c r="F186" t="s">
        <v>21</v>
      </c>
    </row>
    <row r="187" spans="1:6" x14ac:dyDescent="0.3">
      <c r="A187" s="36">
        <v>44558</v>
      </c>
      <c r="B187">
        <v>14</v>
      </c>
      <c r="C187">
        <v>14</v>
      </c>
      <c r="E187" s="51" t="s">
        <v>32</v>
      </c>
      <c r="F187" t="s">
        <v>21</v>
      </c>
    </row>
    <row r="188" spans="1:6" x14ac:dyDescent="0.3">
      <c r="A188" s="36">
        <v>44558</v>
      </c>
      <c r="B188">
        <v>13</v>
      </c>
      <c r="C188">
        <v>13</v>
      </c>
      <c r="D188" s="17">
        <v>0</v>
      </c>
      <c r="E188" s="51" t="s">
        <v>32</v>
      </c>
      <c r="F188" t="s">
        <v>21</v>
      </c>
    </row>
    <row r="189" spans="1:6" x14ac:dyDescent="0.3">
      <c r="A189" s="36">
        <v>44558</v>
      </c>
      <c r="B189">
        <v>12</v>
      </c>
      <c r="C189">
        <v>12</v>
      </c>
      <c r="E189" s="51" t="s">
        <v>32</v>
      </c>
      <c r="F189" t="s">
        <v>21</v>
      </c>
    </row>
    <row r="190" spans="1:6" x14ac:dyDescent="0.3">
      <c r="A190" s="36">
        <v>44558</v>
      </c>
      <c r="B190">
        <v>12</v>
      </c>
      <c r="C190">
        <v>12</v>
      </c>
      <c r="E190" s="51" t="s">
        <v>32</v>
      </c>
      <c r="F190" t="s">
        <v>21</v>
      </c>
    </row>
    <row r="191" spans="1:6" x14ac:dyDescent="0.3">
      <c r="A191" s="36">
        <v>44558</v>
      </c>
      <c r="B191">
        <v>11</v>
      </c>
      <c r="C191">
        <v>11</v>
      </c>
      <c r="E191" s="51" t="s">
        <v>32</v>
      </c>
      <c r="F191" t="s">
        <v>21</v>
      </c>
    </row>
    <row r="192" spans="1:6" x14ac:dyDescent="0.3">
      <c r="A192" s="36">
        <v>44558</v>
      </c>
      <c r="B192">
        <v>11</v>
      </c>
      <c r="C192">
        <v>11</v>
      </c>
      <c r="E192" s="51" t="s">
        <v>32</v>
      </c>
      <c r="F192" t="s">
        <v>21</v>
      </c>
    </row>
    <row r="193" spans="1:6" x14ac:dyDescent="0.3">
      <c r="A193" s="36">
        <v>44558</v>
      </c>
      <c r="B193">
        <v>13</v>
      </c>
      <c r="C193">
        <v>13</v>
      </c>
      <c r="E193" s="51" t="s">
        <v>32</v>
      </c>
      <c r="F193" t="s">
        <v>21</v>
      </c>
    </row>
    <row r="194" spans="1:6" x14ac:dyDescent="0.3">
      <c r="A194" s="36">
        <v>44558</v>
      </c>
      <c r="B194">
        <v>11</v>
      </c>
      <c r="C194">
        <v>11</v>
      </c>
      <c r="E194" s="51" t="s">
        <v>32</v>
      </c>
      <c r="F194" t="s">
        <v>21</v>
      </c>
    </row>
    <row r="195" spans="1:6" x14ac:dyDescent="0.3">
      <c r="A195" s="36">
        <v>44558</v>
      </c>
      <c r="B195">
        <v>14</v>
      </c>
      <c r="C195">
        <v>14</v>
      </c>
      <c r="E195" s="51" t="s">
        <v>32</v>
      </c>
      <c r="F195" t="s">
        <v>21</v>
      </c>
    </row>
    <row r="196" spans="1:6" x14ac:dyDescent="0.3">
      <c r="A196" s="36">
        <v>44558</v>
      </c>
      <c r="B196">
        <v>13</v>
      </c>
      <c r="C196">
        <v>13</v>
      </c>
      <c r="E196" s="51" t="s">
        <v>32</v>
      </c>
      <c r="F196" t="s">
        <v>21</v>
      </c>
    </row>
    <row r="197" spans="1:6" x14ac:dyDescent="0.3">
      <c r="A197" s="36">
        <v>44558</v>
      </c>
      <c r="B197">
        <v>13</v>
      </c>
      <c r="C197">
        <v>13</v>
      </c>
      <c r="E197" s="51" t="s">
        <v>32</v>
      </c>
      <c r="F197" t="s">
        <v>21</v>
      </c>
    </row>
    <row r="198" spans="1:6" x14ac:dyDescent="0.3">
      <c r="A198" s="36">
        <v>44558</v>
      </c>
      <c r="B198">
        <v>12</v>
      </c>
      <c r="C198">
        <v>12</v>
      </c>
      <c r="E198" s="51" t="s">
        <v>32</v>
      </c>
      <c r="F198" t="s">
        <v>21</v>
      </c>
    </row>
    <row r="199" spans="1:6" x14ac:dyDescent="0.3">
      <c r="A199" s="36">
        <v>44558</v>
      </c>
      <c r="B199">
        <v>13</v>
      </c>
      <c r="C199">
        <v>13</v>
      </c>
      <c r="E199" s="51" t="s">
        <v>32</v>
      </c>
      <c r="F199" t="s">
        <v>21</v>
      </c>
    </row>
    <row r="200" spans="1:6" x14ac:dyDescent="0.3">
      <c r="A200" s="36">
        <v>44607</v>
      </c>
      <c r="B200">
        <v>16</v>
      </c>
      <c r="C200">
        <v>16</v>
      </c>
      <c r="E200" s="51" t="s">
        <v>32</v>
      </c>
      <c r="F200" t="s">
        <v>21</v>
      </c>
    </row>
    <row r="201" spans="1:6" x14ac:dyDescent="0.3">
      <c r="A201" s="36">
        <v>44607</v>
      </c>
      <c r="B201">
        <v>16</v>
      </c>
      <c r="C201">
        <v>16</v>
      </c>
      <c r="E201" s="51" t="s">
        <v>32</v>
      </c>
      <c r="F201" t="s">
        <v>21</v>
      </c>
    </row>
    <row r="202" spans="1:6" x14ac:dyDescent="0.3">
      <c r="A202" s="36">
        <v>44607</v>
      </c>
      <c r="B202">
        <v>17</v>
      </c>
      <c r="C202">
        <v>17</v>
      </c>
      <c r="E202" s="51" t="s">
        <v>32</v>
      </c>
      <c r="F202" t="s">
        <v>21</v>
      </c>
    </row>
    <row r="203" spans="1:6" x14ac:dyDescent="0.3">
      <c r="A203" s="36">
        <v>44607</v>
      </c>
      <c r="B203">
        <v>18</v>
      </c>
      <c r="C203">
        <v>18</v>
      </c>
      <c r="E203" s="51" t="s">
        <v>32</v>
      </c>
      <c r="F203" t="s">
        <v>21</v>
      </c>
    </row>
    <row r="204" spans="1:6" x14ac:dyDescent="0.3">
      <c r="A204" s="36">
        <v>44607</v>
      </c>
      <c r="B204">
        <v>19</v>
      </c>
      <c r="C204">
        <v>19</v>
      </c>
      <c r="E204" s="51" t="s">
        <v>32</v>
      </c>
      <c r="F204" t="s">
        <v>21</v>
      </c>
    </row>
    <row r="205" spans="1:6" x14ac:dyDescent="0.3">
      <c r="A205" s="36">
        <v>44607</v>
      </c>
      <c r="B205">
        <v>20</v>
      </c>
      <c r="C205">
        <v>20</v>
      </c>
      <c r="E205" s="51" t="s">
        <v>32</v>
      </c>
      <c r="F205" t="s">
        <v>21</v>
      </c>
    </row>
    <row r="206" spans="1:6" x14ac:dyDescent="0.3">
      <c r="A206" s="36">
        <v>44607</v>
      </c>
      <c r="B206">
        <v>19</v>
      </c>
      <c r="C206">
        <v>19</v>
      </c>
      <c r="E206" s="51" t="s">
        <v>32</v>
      </c>
      <c r="F206" t="s">
        <v>21</v>
      </c>
    </row>
    <row r="207" spans="1:6" x14ac:dyDescent="0.3">
      <c r="A207" s="36">
        <v>44607</v>
      </c>
      <c r="B207">
        <v>20</v>
      </c>
      <c r="C207">
        <v>20</v>
      </c>
      <c r="E207" s="51" t="s">
        <v>32</v>
      </c>
      <c r="F207" t="s">
        <v>21</v>
      </c>
    </row>
    <row r="208" spans="1:6" x14ac:dyDescent="0.3">
      <c r="A208" s="36">
        <v>44607</v>
      </c>
      <c r="B208">
        <v>19</v>
      </c>
      <c r="C208">
        <v>19</v>
      </c>
      <c r="E208" s="51" t="s">
        <v>32</v>
      </c>
      <c r="F208" t="s">
        <v>21</v>
      </c>
    </row>
    <row r="209" spans="1:6" x14ac:dyDescent="0.3">
      <c r="A209" s="36">
        <v>44607</v>
      </c>
      <c r="B209">
        <v>20</v>
      </c>
      <c r="C209">
        <v>20</v>
      </c>
      <c r="E209" s="51" t="s">
        <v>32</v>
      </c>
      <c r="F209" t="s">
        <v>21</v>
      </c>
    </row>
    <row r="210" spans="1:6" x14ac:dyDescent="0.3">
      <c r="A210" s="36">
        <v>44607</v>
      </c>
      <c r="B210">
        <v>19</v>
      </c>
      <c r="C210">
        <v>19</v>
      </c>
      <c r="E210" s="51" t="s">
        <v>32</v>
      </c>
      <c r="F210" t="s">
        <v>21</v>
      </c>
    </row>
    <row r="211" spans="1:6" x14ac:dyDescent="0.3">
      <c r="A211" s="36">
        <v>44607</v>
      </c>
      <c r="B211">
        <v>20</v>
      </c>
      <c r="C211">
        <v>20</v>
      </c>
      <c r="E211" s="51" t="s">
        <v>32</v>
      </c>
      <c r="F211" t="s">
        <v>21</v>
      </c>
    </row>
    <row r="212" spans="1:6" x14ac:dyDescent="0.3">
      <c r="A212" s="36">
        <v>44607</v>
      </c>
      <c r="B212">
        <v>18</v>
      </c>
      <c r="C212">
        <v>18</v>
      </c>
      <c r="E212" s="51" t="s">
        <v>32</v>
      </c>
      <c r="F212" t="s">
        <v>21</v>
      </c>
    </row>
    <row r="213" spans="1:6" x14ac:dyDescent="0.3">
      <c r="A213" s="36">
        <v>44607</v>
      </c>
      <c r="B213">
        <v>19</v>
      </c>
      <c r="C213">
        <v>19</v>
      </c>
      <c r="E213" s="51" t="s">
        <v>32</v>
      </c>
      <c r="F213" t="s">
        <v>21</v>
      </c>
    </row>
    <row r="214" spans="1:6" x14ac:dyDescent="0.3">
      <c r="A214" s="36">
        <v>44607</v>
      </c>
      <c r="B214">
        <v>20</v>
      </c>
      <c r="C214">
        <v>20</v>
      </c>
      <c r="E214" s="51" t="s">
        <v>32</v>
      </c>
      <c r="F214" t="s">
        <v>21</v>
      </c>
    </row>
    <row r="215" spans="1:6" x14ac:dyDescent="0.3">
      <c r="A215" s="36">
        <v>44607</v>
      </c>
      <c r="B215">
        <v>18</v>
      </c>
      <c r="C215">
        <v>18</v>
      </c>
      <c r="E215" s="51" t="s">
        <v>32</v>
      </c>
      <c r="F215" t="s">
        <v>21</v>
      </c>
    </row>
    <row r="216" spans="1:6" x14ac:dyDescent="0.3">
      <c r="A216" s="36">
        <v>44607</v>
      </c>
      <c r="B216">
        <v>19</v>
      </c>
      <c r="C216">
        <v>19</v>
      </c>
      <c r="E216" s="51" t="s">
        <v>32</v>
      </c>
      <c r="F216" t="s">
        <v>21</v>
      </c>
    </row>
    <row r="217" spans="1:6" x14ac:dyDescent="0.3">
      <c r="A217" s="36">
        <v>44607</v>
      </c>
      <c r="B217">
        <v>20</v>
      </c>
      <c r="C217">
        <v>20</v>
      </c>
      <c r="E217" s="51" t="s">
        <v>32</v>
      </c>
      <c r="F217" t="s">
        <v>21</v>
      </c>
    </row>
    <row r="218" spans="1:6" x14ac:dyDescent="0.3">
      <c r="A218" s="36">
        <v>44607</v>
      </c>
      <c r="B218">
        <v>20</v>
      </c>
      <c r="C218">
        <v>20</v>
      </c>
      <c r="E218" s="51" t="s">
        <v>32</v>
      </c>
      <c r="F218" t="s">
        <v>21</v>
      </c>
    </row>
    <row r="219" spans="1:6" x14ac:dyDescent="0.3">
      <c r="A219" s="36">
        <v>44607</v>
      </c>
      <c r="B219">
        <v>20</v>
      </c>
      <c r="C219">
        <v>20</v>
      </c>
      <c r="E219" s="51" t="s">
        <v>32</v>
      </c>
      <c r="F219" t="s">
        <v>21</v>
      </c>
    </row>
    <row r="220" spans="1:6" x14ac:dyDescent="0.3">
      <c r="A220" s="36">
        <v>44607</v>
      </c>
      <c r="B220">
        <v>19</v>
      </c>
      <c r="C220">
        <v>19</v>
      </c>
      <c r="E220" s="51" t="s">
        <v>32</v>
      </c>
      <c r="F220" t="s">
        <v>21</v>
      </c>
    </row>
    <row r="221" spans="1:6" x14ac:dyDescent="0.3">
      <c r="A221" s="36">
        <v>44607</v>
      </c>
      <c r="B221">
        <v>19</v>
      </c>
      <c r="C221">
        <v>19</v>
      </c>
      <c r="E221" s="51" t="s">
        <v>32</v>
      </c>
      <c r="F221" t="s">
        <v>21</v>
      </c>
    </row>
    <row r="222" spans="1:6" x14ac:dyDescent="0.3">
      <c r="A222" s="36">
        <v>44607</v>
      </c>
      <c r="B222">
        <v>19</v>
      </c>
      <c r="C222">
        <v>19</v>
      </c>
      <c r="E222" s="51" t="s">
        <v>32</v>
      </c>
      <c r="F222" t="s">
        <v>21</v>
      </c>
    </row>
    <row r="223" spans="1:6" x14ac:dyDescent="0.3">
      <c r="A223" s="36">
        <v>44607</v>
      </c>
      <c r="B223">
        <v>20</v>
      </c>
      <c r="C223">
        <v>20</v>
      </c>
      <c r="E223" s="51" t="s">
        <v>32</v>
      </c>
      <c r="F223" t="s">
        <v>21</v>
      </c>
    </row>
    <row r="224" spans="1:6" x14ac:dyDescent="0.3">
      <c r="A224" s="36">
        <v>44607</v>
      </c>
      <c r="B224">
        <v>20</v>
      </c>
      <c r="C224">
        <v>20</v>
      </c>
      <c r="E224" s="51" t="s">
        <v>32</v>
      </c>
      <c r="F224" t="s">
        <v>21</v>
      </c>
    </row>
    <row r="225" spans="1:6" x14ac:dyDescent="0.3">
      <c r="A225" s="36">
        <v>44607</v>
      </c>
      <c r="B225">
        <v>20</v>
      </c>
      <c r="C225">
        <v>20</v>
      </c>
      <c r="E225" s="51" t="s">
        <v>32</v>
      </c>
      <c r="F225" t="s">
        <v>21</v>
      </c>
    </row>
    <row r="226" spans="1:6" x14ac:dyDescent="0.3">
      <c r="A226" s="36">
        <v>44607</v>
      </c>
      <c r="B226">
        <v>21</v>
      </c>
      <c r="C226">
        <v>21</v>
      </c>
      <c r="E226" s="51" t="s">
        <v>32</v>
      </c>
      <c r="F226" t="s">
        <v>21</v>
      </c>
    </row>
    <row r="227" spans="1:6" x14ac:dyDescent="0.3">
      <c r="A227" s="36">
        <v>44607</v>
      </c>
      <c r="B227">
        <v>20</v>
      </c>
      <c r="C227">
        <v>20</v>
      </c>
      <c r="E227" s="51" t="s">
        <v>32</v>
      </c>
      <c r="F227" t="s">
        <v>21</v>
      </c>
    </row>
    <row r="228" spans="1:6" x14ac:dyDescent="0.3">
      <c r="A228" s="36">
        <v>44607</v>
      </c>
      <c r="B228">
        <v>19</v>
      </c>
      <c r="C228">
        <v>19</v>
      </c>
      <c r="E228" s="51" t="s">
        <v>32</v>
      </c>
      <c r="F228" t="s">
        <v>21</v>
      </c>
    </row>
    <row r="229" spans="1:6" x14ac:dyDescent="0.3">
      <c r="A229" s="36">
        <v>44607</v>
      </c>
      <c r="B229">
        <v>20</v>
      </c>
      <c r="C229">
        <v>20</v>
      </c>
      <c r="E229" s="51" t="s">
        <v>32</v>
      </c>
      <c r="F229" t="s">
        <v>21</v>
      </c>
    </row>
    <row r="230" spans="1:6" x14ac:dyDescent="0.3">
      <c r="A230" s="36">
        <v>44621</v>
      </c>
      <c r="B230">
        <v>20</v>
      </c>
      <c r="C230">
        <v>20</v>
      </c>
      <c r="E230" s="51" t="s">
        <v>32</v>
      </c>
      <c r="F230" t="s">
        <v>21</v>
      </c>
    </row>
    <row r="231" spans="1:6" x14ac:dyDescent="0.3">
      <c r="A231" s="36">
        <v>44621</v>
      </c>
      <c r="B231">
        <v>20</v>
      </c>
      <c r="C231">
        <v>20</v>
      </c>
      <c r="E231" s="51" t="s">
        <v>32</v>
      </c>
      <c r="F231" t="s">
        <v>21</v>
      </c>
    </row>
    <row r="232" spans="1:6" x14ac:dyDescent="0.3">
      <c r="A232" s="36">
        <v>44621</v>
      </c>
      <c r="B232">
        <v>20</v>
      </c>
      <c r="C232">
        <v>20</v>
      </c>
      <c r="E232" s="51" t="s">
        <v>32</v>
      </c>
      <c r="F232" t="s">
        <v>21</v>
      </c>
    </row>
    <row r="233" spans="1:6" x14ac:dyDescent="0.3">
      <c r="A233" s="36">
        <v>44621</v>
      </c>
      <c r="B233">
        <v>20</v>
      </c>
      <c r="C233">
        <v>20</v>
      </c>
      <c r="E233" s="51" t="s">
        <v>32</v>
      </c>
      <c r="F233" t="s">
        <v>21</v>
      </c>
    </row>
    <row r="234" spans="1:6" x14ac:dyDescent="0.3">
      <c r="A234" s="36">
        <v>44621</v>
      </c>
      <c r="B234">
        <v>20</v>
      </c>
      <c r="C234">
        <v>20</v>
      </c>
      <c r="E234" s="51" t="s">
        <v>32</v>
      </c>
      <c r="F234" t="s">
        <v>21</v>
      </c>
    </row>
    <row r="235" spans="1:6" x14ac:dyDescent="0.3">
      <c r="A235" s="36">
        <v>44621</v>
      </c>
      <c r="B235">
        <v>20</v>
      </c>
      <c r="C235">
        <v>20</v>
      </c>
      <c r="E235" s="51" t="s">
        <v>32</v>
      </c>
      <c r="F235" t="s">
        <v>21</v>
      </c>
    </row>
    <row r="236" spans="1:6" x14ac:dyDescent="0.3">
      <c r="A236" s="36">
        <v>44621</v>
      </c>
      <c r="B236">
        <v>20</v>
      </c>
      <c r="C236">
        <v>20</v>
      </c>
      <c r="E236" s="51" t="s">
        <v>32</v>
      </c>
      <c r="F236" t="s">
        <v>21</v>
      </c>
    </row>
    <row r="237" spans="1:6" x14ac:dyDescent="0.3">
      <c r="A237" s="36">
        <v>44621</v>
      </c>
      <c r="B237">
        <v>20</v>
      </c>
      <c r="C237">
        <v>20</v>
      </c>
      <c r="E237" s="51" t="s">
        <v>32</v>
      </c>
      <c r="F237" t="s">
        <v>21</v>
      </c>
    </row>
    <row r="238" spans="1:6" x14ac:dyDescent="0.3">
      <c r="A238" s="36">
        <v>44621</v>
      </c>
      <c r="B238">
        <v>20</v>
      </c>
      <c r="C238">
        <v>20</v>
      </c>
      <c r="E238" s="51" t="s">
        <v>32</v>
      </c>
      <c r="F238" t="s">
        <v>21</v>
      </c>
    </row>
    <row r="239" spans="1:6" x14ac:dyDescent="0.3">
      <c r="A239" s="36">
        <v>44621</v>
      </c>
      <c r="B239">
        <v>20</v>
      </c>
      <c r="C239">
        <v>20</v>
      </c>
      <c r="E239" s="51" t="s">
        <v>32</v>
      </c>
      <c r="F239" t="s">
        <v>21</v>
      </c>
    </row>
    <row r="240" spans="1:6" x14ac:dyDescent="0.3">
      <c r="A240" s="36">
        <v>44621</v>
      </c>
      <c r="B240">
        <v>20</v>
      </c>
      <c r="C240">
        <v>20</v>
      </c>
      <c r="E240" s="51" t="s">
        <v>32</v>
      </c>
      <c r="F240" t="s">
        <v>21</v>
      </c>
    </row>
    <row r="241" spans="1:6" x14ac:dyDescent="0.3">
      <c r="A241" s="36">
        <v>44621</v>
      </c>
      <c r="B241">
        <v>20</v>
      </c>
      <c r="C241">
        <v>20</v>
      </c>
      <c r="E241" s="51" t="s">
        <v>32</v>
      </c>
      <c r="F241" t="s">
        <v>21</v>
      </c>
    </row>
    <row r="242" spans="1:6" x14ac:dyDescent="0.3">
      <c r="A242" s="36">
        <v>44621</v>
      </c>
      <c r="B242">
        <v>21</v>
      </c>
      <c r="C242">
        <v>21</v>
      </c>
      <c r="E242" s="51" t="s">
        <v>32</v>
      </c>
      <c r="F242" t="s">
        <v>21</v>
      </c>
    </row>
    <row r="243" spans="1:6" x14ac:dyDescent="0.3">
      <c r="A243" s="36">
        <v>44621</v>
      </c>
      <c r="B243">
        <v>20</v>
      </c>
      <c r="C243">
        <v>20</v>
      </c>
      <c r="E243" s="51" t="s">
        <v>32</v>
      </c>
      <c r="F243" t="s">
        <v>21</v>
      </c>
    </row>
    <row r="244" spans="1:6" x14ac:dyDescent="0.3">
      <c r="A244" s="36">
        <v>44621</v>
      </c>
      <c r="B244">
        <v>20</v>
      </c>
      <c r="C244">
        <v>20</v>
      </c>
      <c r="E244" s="51" t="s">
        <v>32</v>
      </c>
      <c r="F244" t="s">
        <v>21</v>
      </c>
    </row>
    <row r="245" spans="1:6" x14ac:dyDescent="0.3">
      <c r="A245" s="36">
        <v>44621</v>
      </c>
      <c r="B245">
        <v>21</v>
      </c>
      <c r="C245">
        <v>21</v>
      </c>
      <c r="E245" s="51" t="s">
        <v>32</v>
      </c>
      <c r="F245" t="s">
        <v>21</v>
      </c>
    </row>
    <row r="246" spans="1:6" x14ac:dyDescent="0.3">
      <c r="A246" s="36">
        <v>44621</v>
      </c>
      <c r="B246">
        <v>21</v>
      </c>
      <c r="C246">
        <v>21</v>
      </c>
      <c r="E246" s="51" t="s">
        <v>32</v>
      </c>
      <c r="F246" t="s">
        <v>21</v>
      </c>
    </row>
    <row r="247" spans="1:6" x14ac:dyDescent="0.3">
      <c r="A247" s="36">
        <v>44621</v>
      </c>
      <c r="B247">
        <v>21</v>
      </c>
      <c r="C247">
        <v>21</v>
      </c>
      <c r="E247" s="51" t="s">
        <v>32</v>
      </c>
      <c r="F247" t="s">
        <v>21</v>
      </c>
    </row>
    <row r="248" spans="1:6" x14ac:dyDescent="0.3">
      <c r="A248" s="36">
        <v>44621</v>
      </c>
      <c r="B248">
        <v>21</v>
      </c>
      <c r="C248">
        <v>21</v>
      </c>
      <c r="E248" s="51" t="s">
        <v>32</v>
      </c>
      <c r="F248" t="s">
        <v>21</v>
      </c>
    </row>
    <row r="249" spans="1:6" x14ac:dyDescent="0.3">
      <c r="A249" s="36">
        <v>44621</v>
      </c>
      <c r="B249">
        <v>21</v>
      </c>
      <c r="C249">
        <v>21</v>
      </c>
      <c r="E249" s="51" t="s">
        <v>32</v>
      </c>
      <c r="F249" t="s">
        <v>21</v>
      </c>
    </row>
    <row r="250" spans="1:6" x14ac:dyDescent="0.3">
      <c r="A250" s="36">
        <v>44621</v>
      </c>
      <c r="B250">
        <v>21</v>
      </c>
      <c r="C250">
        <v>21</v>
      </c>
      <c r="E250" s="51" t="s">
        <v>32</v>
      </c>
      <c r="F250" t="s">
        <v>21</v>
      </c>
    </row>
    <row r="251" spans="1:6" x14ac:dyDescent="0.3">
      <c r="A251" s="36">
        <v>44621</v>
      </c>
      <c r="B251">
        <v>21</v>
      </c>
      <c r="C251">
        <v>21</v>
      </c>
      <c r="E251" s="51" t="s">
        <v>32</v>
      </c>
      <c r="F251" t="s">
        <v>21</v>
      </c>
    </row>
    <row r="252" spans="1:6" x14ac:dyDescent="0.3">
      <c r="A252" s="36">
        <v>44621</v>
      </c>
      <c r="B252">
        <v>21</v>
      </c>
      <c r="C252">
        <v>21</v>
      </c>
      <c r="E252" s="51" t="s">
        <v>32</v>
      </c>
      <c r="F252" t="s">
        <v>21</v>
      </c>
    </row>
    <row r="253" spans="1:6" x14ac:dyDescent="0.3">
      <c r="A253" s="36">
        <v>44621</v>
      </c>
      <c r="B253">
        <v>21</v>
      </c>
      <c r="C253">
        <v>21</v>
      </c>
      <c r="E253" s="51" t="s">
        <v>32</v>
      </c>
      <c r="F253" t="s">
        <v>21</v>
      </c>
    </row>
    <row r="254" spans="1:6" x14ac:dyDescent="0.3">
      <c r="A254" s="36">
        <v>44621</v>
      </c>
      <c r="B254">
        <v>21</v>
      </c>
      <c r="C254">
        <v>21</v>
      </c>
      <c r="E254" s="51" t="s">
        <v>32</v>
      </c>
      <c r="F254" t="s">
        <v>21</v>
      </c>
    </row>
    <row r="255" spans="1:6" x14ac:dyDescent="0.3">
      <c r="A255" s="36">
        <v>44621</v>
      </c>
      <c r="B255">
        <v>17</v>
      </c>
      <c r="C255">
        <v>17</v>
      </c>
      <c r="E255" s="51" t="s">
        <v>32</v>
      </c>
      <c r="F255" t="s">
        <v>21</v>
      </c>
    </row>
    <row r="256" spans="1:6" x14ac:dyDescent="0.3">
      <c r="A256" s="36">
        <v>44621</v>
      </c>
      <c r="B256">
        <v>16</v>
      </c>
      <c r="C256">
        <v>16</v>
      </c>
      <c r="E256" s="51" t="s">
        <v>32</v>
      </c>
      <c r="F256" t="s">
        <v>21</v>
      </c>
    </row>
    <row r="257" spans="1:6" x14ac:dyDescent="0.3">
      <c r="A257" s="36">
        <v>44621</v>
      </c>
      <c r="B257">
        <v>18</v>
      </c>
      <c r="C257">
        <v>18</v>
      </c>
      <c r="E257" s="51" t="s">
        <v>32</v>
      </c>
      <c r="F257" t="s">
        <v>21</v>
      </c>
    </row>
    <row r="258" spans="1:6" x14ac:dyDescent="0.3">
      <c r="A258" s="36">
        <v>44621</v>
      </c>
      <c r="B258">
        <v>16</v>
      </c>
      <c r="C258">
        <v>16</v>
      </c>
      <c r="E258" s="51" t="s">
        <v>32</v>
      </c>
      <c r="F258" t="s">
        <v>21</v>
      </c>
    </row>
    <row r="259" spans="1:6" x14ac:dyDescent="0.3">
      <c r="A259" s="36">
        <v>44621</v>
      </c>
      <c r="B259">
        <v>14</v>
      </c>
      <c r="C259">
        <v>14</v>
      </c>
      <c r="E259" s="51" t="s">
        <v>32</v>
      </c>
      <c r="F259" t="s">
        <v>21</v>
      </c>
    </row>
    <row r="260" spans="1:6" x14ac:dyDescent="0.3">
      <c r="A260" s="36">
        <v>44642</v>
      </c>
      <c r="B260">
        <v>12</v>
      </c>
      <c r="C260">
        <v>12</v>
      </c>
      <c r="E260" s="51" t="s">
        <v>32</v>
      </c>
      <c r="F260" t="s">
        <v>21</v>
      </c>
    </row>
    <row r="261" spans="1:6" x14ac:dyDescent="0.3">
      <c r="A261" s="36">
        <v>44642</v>
      </c>
      <c r="B261">
        <v>12</v>
      </c>
      <c r="C261">
        <v>12</v>
      </c>
      <c r="E261" s="51" t="s">
        <v>32</v>
      </c>
      <c r="F261" t="s">
        <v>21</v>
      </c>
    </row>
    <row r="262" spans="1:6" x14ac:dyDescent="0.3">
      <c r="A262" s="36">
        <v>44642</v>
      </c>
      <c r="B262">
        <v>12</v>
      </c>
      <c r="C262">
        <v>12</v>
      </c>
      <c r="E262" s="51" t="s">
        <v>32</v>
      </c>
      <c r="F262" t="s">
        <v>21</v>
      </c>
    </row>
    <row r="263" spans="1:6" x14ac:dyDescent="0.3">
      <c r="A263" s="36">
        <v>44642</v>
      </c>
      <c r="B263">
        <v>13</v>
      </c>
      <c r="C263">
        <v>13</v>
      </c>
      <c r="E263" s="51" t="s">
        <v>32</v>
      </c>
      <c r="F263" t="s">
        <v>21</v>
      </c>
    </row>
    <row r="264" spans="1:6" x14ac:dyDescent="0.3">
      <c r="A264" s="36">
        <v>44642</v>
      </c>
      <c r="B264">
        <v>14</v>
      </c>
      <c r="C264">
        <v>14</v>
      </c>
      <c r="E264" s="51" t="s">
        <v>32</v>
      </c>
      <c r="F264" t="s">
        <v>21</v>
      </c>
    </row>
    <row r="265" spans="1:6" x14ac:dyDescent="0.3">
      <c r="A265" s="36">
        <v>44642</v>
      </c>
      <c r="B265">
        <v>16</v>
      </c>
      <c r="C265">
        <v>16</v>
      </c>
      <c r="E265" s="51" t="s">
        <v>32</v>
      </c>
      <c r="F265" t="s">
        <v>21</v>
      </c>
    </row>
    <row r="266" spans="1:6" x14ac:dyDescent="0.3">
      <c r="A266" s="36">
        <v>44642</v>
      </c>
      <c r="B266">
        <v>16</v>
      </c>
      <c r="C266">
        <v>16</v>
      </c>
      <c r="E266" s="51" t="s">
        <v>32</v>
      </c>
      <c r="F266" t="s">
        <v>21</v>
      </c>
    </row>
    <row r="267" spans="1:6" x14ac:dyDescent="0.3">
      <c r="A267" s="36">
        <v>44642</v>
      </c>
      <c r="B267">
        <v>16</v>
      </c>
      <c r="C267">
        <v>16</v>
      </c>
      <c r="E267" s="51" t="s">
        <v>32</v>
      </c>
      <c r="F267" t="s">
        <v>21</v>
      </c>
    </row>
    <row r="268" spans="1:6" x14ac:dyDescent="0.3">
      <c r="A268" s="36">
        <v>44642</v>
      </c>
      <c r="B268">
        <v>14</v>
      </c>
      <c r="C268">
        <v>14</v>
      </c>
      <c r="E268" s="51" t="s">
        <v>32</v>
      </c>
      <c r="F268" t="s">
        <v>21</v>
      </c>
    </row>
    <row r="269" spans="1:6" x14ac:dyDescent="0.3">
      <c r="A269" s="36">
        <v>44642</v>
      </c>
      <c r="B269">
        <v>17</v>
      </c>
      <c r="C269">
        <v>17</v>
      </c>
      <c r="E269" s="51" t="s">
        <v>32</v>
      </c>
      <c r="F269" t="s">
        <v>21</v>
      </c>
    </row>
    <row r="270" spans="1:6" x14ac:dyDescent="0.3">
      <c r="A270" s="36">
        <v>44642</v>
      </c>
      <c r="B270">
        <v>15</v>
      </c>
      <c r="C270">
        <v>15</v>
      </c>
      <c r="E270" s="51" t="s">
        <v>32</v>
      </c>
      <c r="F270" t="s">
        <v>21</v>
      </c>
    </row>
    <row r="271" spans="1:6" x14ac:dyDescent="0.3">
      <c r="A271" s="36">
        <v>44642</v>
      </c>
      <c r="B271">
        <v>23</v>
      </c>
      <c r="C271">
        <v>23</v>
      </c>
      <c r="E271" s="51" t="s">
        <v>32</v>
      </c>
      <c r="F271" t="s">
        <v>21</v>
      </c>
    </row>
    <row r="272" spans="1:6" x14ac:dyDescent="0.3">
      <c r="A272" s="36">
        <v>44642</v>
      </c>
      <c r="B272">
        <v>8</v>
      </c>
      <c r="C272">
        <v>8</v>
      </c>
      <c r="E272" s="51" t="s">
        <v>32</v>
      </c>
      <c r="F272" t="s">
        <v>21</v>
      </c>
    </row>
    <row r="273" spans="1:6" x14ac:dyDescent="0.3">
      <c r="A273" s="36">
        <v>44642</v>
      </c>
      <c r="B273">
        <v>17</v>
      </c>
      <c r="C273">
        <v>17</v>
      </c>
      <c r="E273" s="51" t="s">
        <v>32</v>
      </c>
      <c r="F273" t="s">
        <v>21</v>
      </c>
    </row>
    <row r="274" spans="1:6" x14ac:dyDescent="0.3">
      <c r="A274" s="36">
        <v>44642</v>
      </c>
      <c r="B274">
        <v>18</v>
      </c>
      <c r="C274">
        <v>18</v>
      </c>
      <c r="E274" s="51" t="s">
        <v>32</v>
      </c>
      <c r="F274" t="s">
        <v>21</v>
      </c>
    </row>
    <row r="275" spans="1:6" x14ac:dyDescent="0.3">
      <c r="A275" s="36">
        <v>44642</v>
      </c>
      <c r="B275">
        <v>16</v>
      </c>
      <c r="C275">
        <v>16</v>
      </c>
      <c r="E275" s="51" t="s">
        <v>32</v>
      </c>
      <c r="F275" t="s">
        <v>21</v>
      </c>
    </row>
    <row r="276" spans="1:6" x14ac:dyDescent="0.3">
      <c r="A276" s="36">
        <v>44642</v>
      </c>
      <c r="B276">
        <v>16</v>
      </c>
      <c r="C276">
        <v>16</v>
      </c>
      <c r="E276" s="51" t="s">
        <v>32</v>
      </c>
      <c r="F276" t="s">
        <v>21</v>
      </c>
    </row>
    <row r="277" spans="1:6" x14ac:dyDescent="0.3">
      <c r="A277" s="36">
        <v>44642</v>
      </c>
      <c r="B277">
        <v>17</v>
      </c>
      <c r="C277">
        <v>17</v>
      </c>
      <c r="E277" s="51" t="s">
        <v>32</v>
      </c>
      <c r="F277" t="s">
        <v>21</v>
      </c>
    </row>
    <row r="278" spans="1:6" x14ac:dyDescent="0.3">
      <c r="A278" s="36">
        <v>44642</v>
      </c>
      <c r="B278">
        <v>18</v>
      </c>
      <c r="C278">
        <v>18</v>
      </c>
      <c r="E278" s="51" t="s">
        <v>32</v>
      </c>
      <c r="F278" t="s">
        <v>21</v>
      </c>
    </row>
    <row r="279" spans="1:6" x14ac:dyDescent="0.3">
      <c r="A279" s="36">
        <v>44642</v>
      </c>
      <c r="B279">
        <v>16</v>
      </c>
      <c r="C279">
        <v>16</v>
      </c>
      <c r="E279" s="51" t="s">
        <v>32</v>
      </c>
      <c r="F279" t="s">
        <v>21</v>
      </c>
    </row>
    <row r="280" spans="1:6" x14ac:dyDescent="0.3">
      <c r="A280" s="36">
        <v>44642</v>
      </c>
      <c r="B280">
        <v>16</v>
      </c>
      <c r="C280">
        <v>16</v>
      </c>
      <c r="E280" s="51" t="s">
        <v>32</v>
      </c>
      <c r="F280" t="s">
        <v>21</v>
      </c>
    </row>
    <row r="281" spans="1:6" x14ac:dyDescent="0.3">
      <c r="A281" s="36">
        <v>44642</v>
      </c>
      <c r="B281">
        <v>17</v>
      </c>
      <c r="C281">
        <v>17</v>
      </c>
      <c r="E281" s="51" t="s">
        <v>32</v>
      </c>
      <c r="F281" t="s">
        <v>21</v>
      </c>
    </row>
    <row r="282" spans="1:6" x14ac:dyDescent="0.3">
      <c r="A282" s="36">
        <v>44642</v>
      </c>
      <c r="B282">
        <v>16</v>
      </c>
      <c r="C282">
        <v>16</v>
      </c>
      <c r="E282" s="51" t="s">
        <v>32</v>
      </c>
      <c r="F282" t="s">
        <v>21</v>
      </c>
    </row>
    <row r="283" spans="1:6" x14ac:dyDescent="0.3">
      <c r="A283" s="36">
        <v>44642</v>
      </c>
      <c r="B283">
        <v>17</v>
      </c>
      <c r="C283">
        <v>17</v>
      </c>
      <c r="E283" s="51" t="s">
        <v>32</v>
      </c>
      <c r="F283" t="s">
        <v>21</v>
      </c>
    </row>
    <row r="284" spans="1:6" x14ac:dyDescent="0.3">
      <c r="A284" s="36">
        <v>44642</v>
      </c>
      <c r="B284">
        <v>18</v>
      </c>
      <c r="C284">
        <v>18</v>
      </c>
      <c r="E284" s="51" t="s">
        <v>32</v>
      </c>
      <c r="F284" t="s">
        <v>21</v>
      </c>
    </row>
    <row r="285" spans="1:6" x14ac:dyDescent="0.3">
      <c r="A285" s="36">
        <v>44642</v>
      </c>
      <c r="B285">
        <v>18</v>
      </c>
      <c r="C285">
        <v>18</v>
      </c>
      <c r="E285" s="51" t="s">
        <v>32</v>
      </c>
      <c r="F285" t="s">
        <v>21</v>
      </c>
    </row>
    <row r="286" spans="1:6" x14ac:dyDescent="0.3">
      <c r="A286" s="36">
        <v>44642</v>
      </c>
      <c r="B286">
        <v>18</v>
      </c>
      <c r="C286">
        <v>18</v>
      </c>
      <c r="E286" s="51" t="s">
        <v>32</v>
      </c>
      <c r="F286" t="s">
        <v>21</v>
      </c>
    </row>
    <row r="287" spans="1:6" x14ac:dyDescent="0.3">
      <c r="A287" s="36">
        <v>44642</v>
      </c>
      <c r="B287">
        <v>19</v>
      </c>
      <c r="C287">
        <v>19</v>
      </c>
      <c r="E287" s="51" t="s">
        <v>32</v>
      </c>
      <c r="F287" t="s">
        <v>21</v>
      </c>
    </row>
    <row r="288" spans="1:6" x14ac:dyDescent="0.3">
      <c r="A288" s="36">
        <v>44642</v>
      </c>
      <c r="B288">
        <v>18</v>
      </c>
      <c r="C288">
        <v>18</v>
      </c>
      <c r="E288" s="51" t="s">
        <v>32</v>
      </c>
      <c r="F288" t="s">
        <v>21</v>
      </c>
    </row>
    <row r="289" spans="1:6" x14ac:dyDescent="0.3">
      <c r="A289" s="36">
        <v>44642</v>
      </c>
      <c r="B289">
        <v>18</v>
      </c>
      <c r="C289">
        <v>18</v>
      </c>
      <c r="E289" s="51" t="s">
        <v>32</v>
      </c>
      <c r="F289" t="s">
        <v>21</v>
      </c>
    </row>
    <row r="290" spans="1:6" x14ac:dyDescent="0.3">
      <c r="A290" s="36">
        <v>44656</v>
      </c>
      <c r="B290">
        <v>17</v>
      </c>
      <c r="C290">
        <v>17</v>
      </c>
      <c r="E290" s="51" t="s">
        <v>32</v>
      </c>
      <c r="F290" t="s">
        <v>21</v>
      </c>
    </row>
    <row r="291" spans="1:6" x14ac:dyDescent="0.3">
      <c r="A291" s="36">
        <v>44656</v>
      </c>
      <c r="B291">
        <v>16</v>
      </c>
      <c r="C291">
        <v>16</v>
      </c>
      <c r="E291" s="51" t="s">
        <v>32</v>
      </c>
      <c r="F291" t="s">
        <v>21</v>
      </c>
    </row>
    <row r="292" spans="1:6" x14ac:dyDescent="0.3">
      <c r="A292" s="36">
        <v>44656</v>
      </c>
      <c r="B292">
        <v>17</v>
      </c>
      <c r="C292">
        <v>17</v>
      </c>
      <c r="E292" s="51" t="s">
        <v>32</v>
      </c>
      <c r="F292" t="s">
        <v>21</v>
      </c>
    </row>
    <row r="293" spans="1:6" x14ac:dyDescent="0.3">
      <c r="A293" s="36">
        <v>44656</v>
      </c>
      <c r="B293">
        <v>18</v>
      </c>
      <c r="C293">
        <v>18</v>
      </c>
      <c r="E293" s="51" t="s">
        <v>32</v>
      </c>
      <c r="F293" t="s">
        <v>21</v>
      </c>
    </row>
    <row r="294" spans="1:6" x14ac:dyDescent="0.3">
      <c r="A294" s="36">
        <v>44656</v>
      </c>
      <c r="B294">
        <v>18</v>
      </c>
      <c r="C294">
        <v>18</v>
      </c>
      <c r="E294" s="51" t="s">
        <v>32</v>
      </c>
      <c r="F294" t="s">
        <v>21</v>
      </c>
    </row>
    <row r="295" spans="1:6" x14ac:dyDescent="0.3">
      <c r="A295" s="36">
        <v>44656</v>
      </c>
      <c r="B295">
        <v>18</v>
      </c>
      <c r="C295">
        <v>18</v>
      </c>
      <c r="E295" s="51" t="s">
        <v>32</v>
      </c>
      <c r="F295" t="s">
        <v>21</v>
      </c>
    </row>
    <row r="296" spans="1:6" x14ac:dyDescent="0.3">
      <c r="A296" s="36">
        <v>44656</v>
      </c>
      <c r="B296">
        <v>18</v>
      </c>
      <c r="C296">
        <v>18</v>
      </c>
      <c r="E296" s="51" t="s">
        <v>32</v>
      </c>
      <c r="F296" t="s">
        <v>21</v>
      </c>
    </row>
    <row r="297" spans="1:6" x14ac:dyDescent="0.3">
      <c r="A297" s="36">
        <v>44656</v>
      </c>
      <c r="B297">
        <v>18</v>
      </c>
      <c r="C297">
        <v>18</v>
      </c>
      <c r="E297" s="51" t="s">
        <v>32</v>
      </c>
      <c r="F297" t="s">
        <v>21</v>
      </c>
    </row>
    <row r="298" spans="1:6" x14ac:dyDescent="0.3">
      <c r="A298" s="36">
        <v>44656</v>
      </c>
      <c r="B298">
        <v>16</v>
      </c>
      <c r="C298">
        <v>16</v>
      </c>
      <c r="E298" s="51" t="s">
        <v>32</v>
      </c>
      <c r="F298" t="s">
        <v>21</v>
      </c>
    </row>
    <row r="299" spans="1:6" x14ac:dyDescent="0.3">
      <c r="A299" s="36">
        <v>44656</v>
      </c>
      <c r="B299">
        <v>19</v>
      </c>
      <c r="C299">
        <v>19</v>
      </c>
      <c r="E299" s="51" t="s">
        <v>32</v>
      </c>
      <c r="F299" t="s">
        <v>21</v>
      </c>
    </row>
    <row r="300" spans="1:6" x14ac:dyDescent="0.3">
      <c r="A300" s="36">
        <v>44656</v>
      </c>
      <c r="B300">
        <v>20</v>
      </c>
      <c r="C300">
        <v>20</v>
      </c>
      <c r="E300" s="51" t="s">
        <v>32</v>
      </c>
      <c r="F300" t="s">
        <v>21</v>
      </c>
    </row>
    <row r="301" spans="1:6" x14ac:dyDescent="0.3">
      <c r="A301" s="36">
        <v>44656</v>
      </c>
      <c r="B301">
        <v>17</v>
      </c>
      <c r="C301">
        <v>17</v>
      </c>
      <c r="E301" s="51" t="s">
        <v>32</v>
      </c>
      <c r="F301" t="s">
        <v>21</v>
      </c>
    </row>
    <row r="302" spans="1:6" x14ac:dyDescent="0.3">
      <c r="A302" s="36">
        <v>44656</v>
      </c>
      <c r="B302">
        <v>16</v>
      </c>
      <c r="C302">
        <v>16</v>
      </c>
      <c r="E302" s="51" t="s">
        <v>32</v>
      </c>
      <c r="F302" t="s">
        <v>21</v>
      </c>
    </row>
    <row r="303" spans="1:6" x14ac:dyDescent="0.3">
      <c r="A303" s="36">
        <v>44656</v>
      </c>
      <c r="B303">
        <v>18</v>
      </c>
      <c r="C303">
        <v>18</v>
      </c>
      <c r="E303" s="51" t="s">
        <v>32</v>
      </c>
      <c r="F303" t="s">
        <v>21</v>
      </c>
    </row>
    <row r="304" spans="1:6" x14ac:dyDescent="0.3">
      <c r="A304" s="36">
        <v>44656</v>
      </c>
      <c r="B304">
        <v>16</v>
      </c>
      <c r="C304">
        <v>16</v>
      </c>
      <c r="E304" s="51" t="s">
        <v>32</v>
      </c>
      <c r="F304" t="s">
        <v>21</v>
      </c>
    </row>
    <row r="305" spans="1:6" x14ac:dyDescent="0.3">
      <c r="A305" s="36">
        <v>44656</v>
      </c>
      <c r="B305">
        <v>18</v>
      </c>
      <c r="C305">
        <v>18</v>
      </c>
      <c r="E305" s="51" t="s">
        <v>32</v>
      </c>
      <c r="F305" t="s">
        <v>21</v>
      </c>
    </row>
    <row r="306" spans="1:6" x14ac:dyDescent="0.3">
      <c r="A306" s="36">
        <v>44656</v>
      </c>
      <c r="B306">
        <v>18</v>
      </c>
      <c r="C306">
        <v>18</v>
      </c>
      <c r="E306" s="51" t="s">
        <v>32</v>
      </c>
      <c r="F306" t="s">
        <v>21</v>
      </c>
    </row>
    <row r="307" spans="1:6" x14ac:dyDescent="0.3">
      <c r="A307" s="36">
        <v>44656</v>
      </c>
      <c r="B307">
        <v>18</v>
      </c>
      <c r="C307">
        <v>18</v>
      </c>
      <c r="E307" s="51" t="s">
        <v>32</v>
      </c>
      <c r="F307" t="s">
        <v>21</v>
      </c>
    </row>
    <row r="308" spans="1:6" x14ac:dyDescent="0.3">
      <c r="A308" s="36">
        <v>44656</v>
      </c>
      <c r="B308">
        <v>18</v>
      </c>
      <c r="C308">
        <v>18</v>
      </c>
      <c r="E308" s="51" t="s">
        <v>32</v>
      </c>
      <c r="F308" t="s">
        <v>21</v>
      </c>
    </row>
    <row r="309" spans="1:6" x14ac:dyDescent="0.3">
      <c r="A309" s="36">
        <v>44656</v>
      </c>
      <c r="B309">
        <v>20</v>
      </c>
      <c r="C309">
        <v>20</v>
      </c>
      <c r="E309" s="51" t="s">
        <v>32</v>
      </c>
      <c r="F309" t="s">
        <v>21</v>
      </c>
    </row>
    <row r="310" spans="1:6" x14ac:dyDescent="0.3">
      <c r="A310" s="36">
        <v>44656</v>
      </c>
      <c r="B310">
        <v>16</v>
      </c>
      <c r="C310">
        <v>16</v>
      </c>
      <c r="E310" s="51" t="s">
        <v>32</v>
      </c>
      <c r="F310" t="s">
        <v>21</v>
      </c>
    </row>
    <row r="311" spans="1:6" x14ac:dyDescent="0.3">
      <c r="A311" s="36">
        <v>44656</v>
      </c>
      <c r="B311">
        <v>18</v>
      </c>
      <c r="C311">
        <v>18</v>
      </c>
      <c r="E311" s="51" t="s">
        <v>32</v>
      </c>
      <c r="F311" t="s">
        <v>21</v>
      </c>
    </row>
    <row r="312" spans="1:6" x14ac:dyDescent="0.3">
      <c r="A312" s="36">
        <v>44656</v>
      </c>
      <c r="B312">
        <v>19</v>
      </c>
      <c r="C312">
        <v>19</v>
      </c>
      <c r="E312" s="51" t="s">
        <v>32</v>
      </c>
      <c r="F312" t="s">
        <v>21</v>
      </c>
    </row>
    <row r="313" spans="1:6" x14ac:dyDescent="0.3">
      <c r="A313" s="36">
        <v>44656</v>
      </c>
      <c r="B313">
        <v>20</v>
      </c>
      <c r="C313">
        <v>20</v>
      </c>
      <c r="E313" s="51" t="s">
        <v>32</v>
      </c>
      <c r="F313" t="s">
        <v>21</v>
      </c>
    </row>
    <row r="314" spans="1:6" x14ac:dyDescent="0.3">
      <c r="A314" s="36">
        <v>44656</v>
      </c>
      <c r="B314">
        <v>19</v>
      </c>
      <c r="C314">
        <v>19</v>
      </c>
      <c r="E314" s="51" t="s">
        <v>32</v>
      </c>
      <c r="F314" t="s">
        <v>21</v>
      </c>
    </row>
    <row r="315" spans="1:6" x14ac:dyDescent="0.3">
      <c r="A315" s="36">
        <v>44656</v>
      </c>
      <c r="B315">
        <v>21</v>
      </c>
      <c r="C315">
        <v>21</v>
      </c>
      <c r="E315" s="51" t="s">
        <v>32</v>
      </c>
      <c r="F315" t="s">
        <v>21</v>
      </c>
    </row>
    <row r="316" spans="1:6" x14ac:dyDescent="0.3">
      <c r="A316" s="36">
        <v>44656</v>
      </c>
      <c r="B316">
        <v>23</v>
      </c>
      <c r="C316">
        <v>23</v>
      </c>
      <c r="E316" s="51" t="s">
        <v>32</v>
      </c>
      <c r="F316" t="s">
        <v>21</v>
      </c>
    </row>
    <row r="317" spans="1:6" x14ac:dyDescent="0.3">
      <c r="A317" s="36">
        <v>44656</v>
      </c>
      <c r="B317">
        <v>24</v>
      </c>
      <c r="C317">
        <v>24</v>
      </c>
      <c r="E317" s="51" t="s">
        <v>32</v>
      </c>
      <c r="F317" t="s">
        <v>21</v>
      </c>
    </row>
    <row r="318" spans="1:6" x14ac:dyDescent="0.3">
      <c r="A318" s="36">
        <v>44656</v>
      </c>
      <c r="B318">
        <v>24</v>
      </c>
      <c r="C318">
        <v>24</v>
      </c>
      <c r="E318" s="51" t="s">
        <v>32</v>
      </c>
      <c r="F318" t="s">
        <v>21</v>
      </c>
    </row>
    <row r="319" spans="1:6" x14ac:dyDescent="0.3">
      <c r="A319" s="36">
        <v>44656</v>
      </c>
      <c r="B319">
        <v>23</v>
      </c>
      <c r="C319">
        <v>23</v>
      </c>
      <c r="E319" s="51" t="s">
        <v>32</v>
      </c>
      <c r="F319" t="s">
        <v>21</v>
      </c>
    </row>
    <row r="320" spans="1:6" x14ac:dyDescent="0.3">
      <c r="A320" s="36">
        <v>44670</v>
      </c>
      <c r="B320">
        <v>23</v>
      </c>
      <c r="C320">
        <v>23</v>
      </c>
      <c r="E320" s="51" t="s">
        <v>32</v>
      </c>
      <c r="F320" t="s">
        <v>21</v>
      </c>
    </row>
    <row r="321" spans="1:6" x14ac:dyDescent="0.3">
      <c r="A321" s="36">
        <v>44670</v>
      </c>
      <c r="B321">
        <v>23</v>
      </c>
      <c r="C321">
        <v>23</v>
      </c>
      <c r="E321" s="51" t="s">
        <v>32</v>
      </c>
      <c r="F321" t="s">
        <v>21</v>
      </c>
    </row>
    <row r="322" spans="1:6" x14ac:dyDescent="0.3">
      <c r="A322" s="36">
        <v>44670</v>
      </c>
      <c r="B322">
        <v>23</v>
      </c>
      <c r="C322">
        <v>23</v>
      </c>
      <c r="E322" s="51" t="s">
        <v>32</v>
      </c>
      <c r="F322" t="s">
        <v>21</v>
      </c>
    </row>
    <row r="323" spans="1:6" x14ac:dyDescent="0.3">
      <c r="A323" s="36">
        <v>44670</v>
      </c>
      <c r="B323">
        <v>23</v>
      </c>
      <c r="C323">
        <v>23</v>
      </c>
      <c r="E323" s="51" t="s">
        <v>32</v>
      </c>
      <c r="F323" t="s">
        <v>21</v>
      </c>
    </row>
    <row r="324" spans="1:6" x14ac:dyDescent="0.3">
      <c r="A324" s="36">
        <v>44670</v>
      </c>
      <c r="B324">
        <v>23</v>
      </c>
      <c r="C324">
        <v>23</v>
      </c>
      <c r="E324" s="51" t="s">
        <v>32</v>
      </c>
      <c r="F324" t="s">
        <v>21</v>
      </c>
    </row>
    <row r="325" spans="1:6" x14ac:dyDescent="0.3">
      <c r="A325" s="36">
        <v>44670</v>
      </c>
      <c r="B325">
        <v>23</v>
      </c>
      <c r="C325">
        <v>23</v>
      </c>
      <c r="E325" s="51" t="s">
        <v>32</v>
      </c>
      <c r="F325" t="s">
        <v>21</v>
      </c>
    </row>
    <row r="326" spans="1:6" x14ac:dyDescent="0.3">
      <c r="A326" s="36">
        <v>44670</v>
      </c>
      <c r="B326">
        <v>23</v>
      </c>
      <c r="C326">
        <v>23</v>
      </c>
      <c r="E326" s="51" t="s">
        <v>32</v>
      </c>
      <c r="F326" t="s">
        <v>21</v>
      </c>
    </row>
    <row r="327" spans="1:6" x14ac:dyDescent="0.3">
      <c r="A327" s="36">
        <v>44670</v>
      </c>
      <c r="B327">
        <v>23</v>
      </c>
      <c r="C327">
        <v>23</v>
      </c>
      <c r="E327" s="51" t="s">
        <v>32</v>
      </c>
      <c r="F327" t="s">
        <v>21</v>
      </c>
    </row>
    <row r="328" spans="1:6" x14ac:dyDescent="0.3">
      <c r="A328" s="36">
        <v>44670</v>
      </c>
      <c r="B328">
        <v>16</v>
      </c>
      <c r="C328">
        <v>16</v>
      </c>
      <c r="E328" s="51" t="s">
        <v>32</v>
      </c>
      <c r="F328" t="s">
        <v>21</v>
      </c>
    </row>
    <row r="329" spans="1:6" x14ac:dyDescent="0.3">
      <c r="A329" s="36">
        <v>44670</v>
      </c>
      <c r="B329">
        <v>15</v>
      </c>
      <c r="C329">
        <v>15</v>
      </c>
      <c r="E329" s="51" t="s">
        <v>32</v>
      </c>
      <c r="F329" t="s">
        <v>21</v>
      </c>
    </row>
    <row r="330" spans="1:6" x14ac:dyDescent="0.3">
      <c r="A330" s="36">
        <v>44670</v>
      </c>
      <c r="B330">
        <v>12</v>
      </c>
      <c r="C330">
        <v>12</v>
      </c>
      <c r="E330" s="51" t="s">
        <v>32</v>
      </c>
      <c r="F330" t="s">
        <v>21</v>
      </c>
    </row>
    <row r="331" spans="1:6" x14ac:dyDescent="0.3">
      <c r="A331" s="36">
        <v>44670</v>
      </c>
      <c r="B331">
        <v>15</v>
      </c>
      <c r="C331">
        <v>15</v>
      </c>
      <c r="E331" s="51" t="s">
        <v>32</v>
      </c>
      <c r="F331" t="s">
        <v>21</v>
      </c>
    </row>
    <row r="332" spans="1:6" x14ac:dyDescent="0.3">
      <c r="A332" s="36">
        <v>44670</v>
      </c>
      <c r="B332">
        <v>12</v>
      </c>
      <c r="C332">
        <v>12</v>
      </c>
      <c r="E332" s="51" t="s">
        <v>32</v>
      </c>
      <c r="F332" t="s">
        <v>21</v>
      </c>
    </row>
    <row r="333" spans="1:6" x14ac:dyDescent="0.3">
      <c r="A333" s="36">
        <v>44670</v>
      </c>
      <c r="B333">
        <v>12</v>
      </c>
      <c r="C333">
        <v>12</v>
      </c>
      <c r="E333" s="51" t="s">
        <v>32</v>
      </c>
      <c r="F333" t="s">
        <v>21</v>
      </c>
    </row>
    <row r="334" spans="1:6" x14ac:dyDescent="0.3">
      <c r="A334" s="36">
        <v>44670</v>
      </c>
      <c r="B334">
        <v>15</v>
      </c>
      <c r="C334">
        <v>15</v>
      </c>
      <c r="E334" s="51" t="s">
        <v>32</v>
      </c>
      <c r="F334" t="s">
        <v>21</v>
      </c>
    </row>
    <row r="335" spans="1:6" x14ac:dyDescent="0.3">
      <c r="A335" s="36">
        <v>44670</v>
      </c>
      <c r="B335">
        <v>12</v>
      </c>
      <c r="C335">
        <v>12</v>
      </c>
      <c r="E335" s="51" t="s">
        <v>32</v>
      </c>
      <c r="F335" t="s">
        <v>21</v>
      </c>
    </row>
    <row r="336" spans="1:6" x14ac:dyDescent="0.3">
      <c r="A336" s="36">
        <v>44670</v>
      </c>
      <c r="B336">
        <v>13</v>
      </c>
      <c r="C336">
        <v>13</v>
      </c>
      <c r="E336" s="51" t="s">
        <v>32</v>
      </c>
      <c r="F336" t="s">
        <v>21</v>
      </c>
    </row>
    <row r="337" spans="1:6" x14ac:dyDescent="0.3">
      <c r="A337" s="36">
        <v>44670</v>
      </c>
      <c r="B337">
        <v>12</v>
      </c>
      <c r="C337">
        <v>12</v>
      </c>
      <c r="E337" s="51" t="s">
        <v>32</v>
      </c>
      <c r="F337" t="s">
        <v>21</v>
      </c>
    </row>
    <row r="338" spans="1:6" x14ac:dyDescent="0.3">
      <c r="A338" s="36">
        <v>44670</v>
      </c>
      <c r="B338">
        <v>14</v>
      </c>
      <c r="C338">
        <v>14</v>
      </c>
      <c r="E338" s="51" t="s">
        <v>32</v>
      </c>
      <c r="F338" t="s">
        <v>21</v>
      </c>
    </row>
    <row r="339" spans="1:6" x14ac:dyDescent="0.3">
      <c r="A339" s="36">
        <v>44670</v>
      </c>
      <c r="B339">
        <v>13</v>
      </c>
      <c r="C339">
        <v>13</v>
      </c>
      <c r="E339" s="51" t="s">
        <v>32</v>
      </c>
      <c r="F339" t="s">
        <v>21</v>
      </c>
    </row>
    <row r="340" spans="1:6" x14ac:dyDescent="0.3">
      <c r="A340" s="36">
        <v>44670</v>
      </c>
      <c r="B340">
        <v>15</v>
      </c>
      <c r="C340">
        <v>15</v>
      </c>
      <c r="E340" s="51" t="s">
        <v>32</v>
      </c>
      <c r="F340" t="s">
        <v>21</v>
      </c>
    </row>
    <row r="341" spans="1:6" x14ac:dyDescent="0.3">
      <c r="A341" s="36">
        <v>44670</v>
      </c>
      <c r="B341">
        <v>13</v>
      </c>
      <c r="C341">
        <v>13</v>
      </c>
      <c r="E341" s="51" t="s">
        <v>32</v>
      </c>
      <c r="F341" t="s">
        <v>21</v>
      </c>
    </row>
    <row r="342" spans="1:6" x14ac:dyDescent="0.3">
      <c r="A342" s="36">
        <v>44670</v>
      </c>
      <c r="B342">
        <v>15</v>
      </c>
      <c r="C342">
        <v>15</v>
      </c>
      <c r="E342" s="51" t="s">
        <v>32</v>
      </c>
      <c r="F342" t="s">
        <v>21</v>
      </c>
    </row>
    <row r="343" spans="1:6" x14ac:dyDescent="0.3">
      <c r="A343" s="36">
        <v>44670</v>
      </c>
      <c r="B343">
        <v>13</v>
      </c>
      <c r="C343">
        <v>13</v>
      </c>
      <c r="E343" s="51" t="s">
        <v>32</v>
      </c>
      <c r="F343" t="s">
        <v>21</v>
      </c>
    </row>
    <row r="344" spans="1:6" x14ac:dyDescent="0.3">
      <c r="A344" s="36">
        <v>44670</v>
      </c>
      <c r="B344">
        <v>13</v>
      </c>
      <c r="C344">
        <v>13</v>
      </c>
      <c r="D344" s="17">
        <v>13</v>
      </c>
      <c r="E344" s="51" t="s">
        <v>32</v>
      </c>
      <c r="F344" t="s">
        <v>21</v>
      </c>
    </row>
    <row r="345" spans="1:6" x14ac:dyDescent="0.3">
      <c r="A345" s="36">
        <v>44670</v>
      </c>
      <c r="B345">
        <v>15</v>
      </c>
      <c r="C345">
        <v>15</v>
      </c>
      <c r="D345" s="17">
        <v>15</v>
      </c>
      <c r="E345" s="51" t="s">
        <v>32</v>
      </c>
      <c r="F345" t="s">
        <v>21</v>
      </c>
    </row>
    <row r="346" spans="1:6" x14ac:dyDescent="0.3">
      <c r="A346" s="36">
        <v>44670</v>
      </c>
      <c r="B346">
        <v>16</v>
      </c>
      <c r="C346">
        <v>16</v>
      </c>
      <c r="D346" s="17">
        <v>16</v>
      </c>
      <c r="E346" s="51" t="s">
        <v>32</v>
      </c>
      <c r="F346" t="s">
        <v>21</v>
      </c>
    </row>
    <row r="347" spans="1:6" x14ac:dyDescent="0.3">
      <c r="A347" s="36">
        <v>44670</v>
      </c>
      <c r="B347">
        <v>12</v>
      </c>
      <c r="C347">
        <v>12</v>
      </c>
      <c r="D347" s="17">
        <v>12</v>
      </c>
      <c r="E347" s="51" t="s">
        <v>32</v>
      </c>
      <c r="F347" t="s">
        <v>21</v>
      </c>
    </row>
    <row r="348" spans="1:6" x14ac:dyDescent="0.3">
      <c r="A348" s="36">
        <v>44670</v>
      </c>
      <c r="B348">
        <v>13</v>
      </c>
      <c r="C348">
        <v>13</v>
      </c>
      <c r="D348" s="17">
        <v>13</v>
      </c>
      <c r="E348" s="51" t="s">
        <v>32</v>
      </c>
      <c r="F348" t="s">
        <v>21</v>
      </c>
    </row>
    <row r="349" spans="1:6" x14ac:dyDescent="0.3">
      <c r="A349" s="36">
        <v>44670</v>
      </c>
      <c r="B349">
        <v>13</v>
      </c>
      <c r="C349">
        <v>13</v>
      </c>
      <c r="D349" s="17">
        <v>13</v>
      </c>
      <c r="E349" s="51" t="s">
        <v>32</v>
      </c>
      <c r="F349" t="s">
        <v>21</v>
      </c>
    </row>
    <row r="350" spans="1:6" x14ac:dyDescent="0.3">
      <c r="A350" s="36">
        <v>44680</v>
      </c>
      <c r="B350">
        <v>13</v>
      </c>
      <c r="C350">
        <v>13</v>
      </c>
      <c r="D350" s="17">
        <v>13</v>
      </c>
      <c r="E350" s="51" t="s">
        <v>32</v>
      </c>
      <c r="F350" t="s">
        <v>21</v>
      </c>
    </row>
    <row r="351" spans="1:6" x14ac:dyDescent="0.3">
      <c r="A351" s="36">
        <v>44680</v>
      </c>
      <c r="B351">
        <v>13</v>
      </c>
      <c r="C351">
        <v>13</v>
      </c>
      <c r="D351" s="17">
        <v>13</v>
      </c>
      <c r="E351" s="51" t="s">
        <v>32</v>
      </c>
      <c r="F351" t="s">
        <v>21</v>
      </c>
    </row>
    <row r="352" spans="1:6" x14ac:dyDescent="0.3">
      <c r="A352" s="36">
        <v>44680</v>
      </c>
      <c r="B352">
        <v>14</v>
      </c>
      <c r="C352">
        <v>14</v>
      </c>
      <c r="D352" s="17">
        <v>14</v>
      </c>
      <c r="E352" s="51" t="s">
        <v>32</v>
      </c>
      <c r="F352" t="s">
        <v>21</v>
      </c>
    </row>
    <row r="353" spans="1:6" x14ac:dyDescent="0.3">
      <c r="A353" s="36">
        <v>44680</v>
      </c>
      <c r="B353">
        <v>16</v>
      </c>
      <c r="C353">
        <v>16</v>
      </c>
      <c r="D353" s="17">
        <v>16</v>
      </c>
      <c r="E353" s="51" t="s">
        <v>32</v>
      </c>
      <c r="F353" t="s">
        <v>21</v>
      </c>
    </row>
    <row r="354" spans="1:6" ht="15.6" x14ac:dyDescent="0.3">
      <c r="A354" s="73">
        <v>44229</v>
      </c>
      <c r="B354" s="14">
        <v>15</v>
      </c>
      <c r="C354" s="14">
        <v>15</v>
      </c>
      <c r="D354" s="14">
        <v>15</v>
      </c>
      <c r="E354" s="26" t="s">
        <v>33</v>
      </c>
      <c r="F354" t="s">
        <v>22</v>
      </c>
    </row>
    <row r="355" spans="1:6" ht="15.6" x14ac:dyDescent="0.3">
      <c r="A355" s="73">
        <v>44229</v>
      </c>
      <c r="B355" s="14">
        <v>15</v>
      </c>
      <c r="C355" s="14">
        <v>15</v>
      </c>
      <c r="D355" s="14">
        <v>15</v>
      </c>
      <c r="E355" s="26" t="s">
        <v>33</v>
      </c>
      <c r="F355" t="s">
        <v>22</v>
      </c>
    </row>
    <row r="356" spans="1:6" ht="15.6" x14ac:dyDescent="0.3">
      <c r="A356" s="73">
        <v>44229</v>
      </c>
      <c r="B356" s="14">
        <v>13</v>
      </c>
      <c r="C356" s="14">
        <v>13</v>
      </c>
      <c r="D356" s="14">
        <v>13</v>
      </c>
      <c r="E356" s="26" t="s">
        <v>33</v>
      </c>
      <c r="F356" t="s">
        <v>22</v>
      </c>
    </row>
    <row r="357" spans="1:6" ht="15.6" x14ac:dyDescent="0.3">
      <c r="A357" s="73">
        <v>44229</v>
      </c>
      <c r="B357" s="14">
        <v>16</v>
      </c>
      <c r="C357" s="14">
        <v>16</v>
      </c>
      <c r="D357" s="14">
        <v>16</v>
      </c>
      <c r="E357" s="26" t="s">
        <v>33</v>
      </c>
      <c r="F357" t="s">
        <v>22</v>
      </c>
    </row>
    <row r="358" spans="1:6" ht="15.6" x14ac:dyDescent="0.3">
      <c r="A358" s="73">
        <v>44231</v>
      </c>
      <c r="B358" s="14">
        <v>20</v>
      </c>
      <c r="C358" s="14">
        <v>20</v>
      </c>
      <c r="D358" s="14">
        <v>20</v>
      </c>
      <c r="E358" s="26" t="s">
        <v>33</v>
      </c>
      <c r="F358" t="s">
        <v>22</v>
      </c>
    </row>
    <row r="359" spans="1:6" ht="15.6" x14ac:dyDescent="0.3">
      <c r="A359" s="73">
        <v>44231</v>
      </c>
      <c r="B359" s="14">
        <v>20</v>
      </c>
      <c r="C359" s="14">
        <v>20</v>
      </c>
      <c r="D359" s="14">
        <v>20</v>
      </c>
      <c r="E359" s="26" t="s">
        <v>33</v>
      </c>
      <c r="F359" t="s">
        <v>22</v>
      </c>
    </row>
    <row r="360" spans="1:6" ht="15.6" x14ac:dyDescent="0.3">
      <c r="A360" s="73">
        <v>44243</v>
      </c>
      <c r="B360" s="14">
        <v>14</v>
      </c>
      <c r="C360" s="14">
        <v>14</v>
      </c>
      <c r="D360" s="11">
        <v>14</v>
      </c>
      <c r="E360" s="26" t="s">
        <v>33</v>
      </c>
      <c r="F360" t="s">
        <v>22</v>
      </c>
    </row>
    <row r="361" spans="1:6" ht="15.6" x14ac:dyDescent="0.3">
      <c r="A361" s="73">
        <v>44243</v>
      </c>
      <c r="B361" s="14">
        <v>11</v>
      </c>
      <c r="C361" s="11">
        <v>11</v>
      </c>
      <c r="D361" s="11">
        <v>11</v>
      </c>
      <c r="E361" s="26" t="s">
        <v>33</v>
      </c>
      <c r="F361" t="s">
        <v>22</v>
      </c>
    </row>
    <row r="362" spans="1:6" ht="15.6" x14ac:dyDescent="0.3">
      <c r="A362" s="73">
        <v>44243</v>
      </c>
      <c r="B362" s="14">
        <v>11</v>
      </c>
      <c r="C362" s="11">
        <v>11</v>
      </c>
      <c r="D362" s="11">
        <v>11</v>
      </c>
      <c r="E362" s="26" t="s">
        <v>33</v>
      </c>
      <c r="F362" t="s">
        <v>22</v>
      </c>
    </row>
    <row r="363" spans="1:6" ht="15.6" x14ac:dyDescent="0.3">
      <c r="A363" s="73">
        <v>44243</v>
      </c>
      <c r="B363" s="14">
        <v>10</v>
      </c>
      <c r="C363" s="11">
        <v>10</v>
      </c>
      <c r="D363" s="11">
        <v>10</v>
      </c>
      <c r="E363" s="26" t="s">
        <v>33</v>
      </c>
      <c r="F363" t="s">
        <v>22</v>
      </c>
    </row>
    <row r="364" spans="1:6" ht="15.6" x14ac:dyDescent="0.3">
      <c r="A364" s="73">
        <v>44245</v>
      </c>
      <c r="B364" s="14">
        <v>20</v>
      </c>
      <c r="C364" s="11">
        <v>20</v>
      </c>
      <c r="D364" s="11">
        <v>20</v>
      </c>
      <c r="E364" s="26" t="s">
        <v>33</v>
      </c>
      <c r="F364" t="s">
        <v>22</v>
      </c>
    </row>
    <row r="365" spans="1:6" ht="15.6" x14ac:dyDescent="0.3">
      <c r="A365" s="73">
        <v>44245</v>
      </c>
      <c r="B365" s="14">
        <v>20</v>
      </c>
      <c r="C365" s="11">
        <v>20</v>
      </c>
      <c r="D365" s="11">
        <v>20</v>
      </c>
      <c r="E365" s="26" t="s">
        <v>33</v>
      </c>
      <c r="F365" t="s">
        <v>22</v>
      </c>
    </row>
    <row r="366" spans="1:6" ht="15.6" x14ac:dyDescent="0.3">
      <c r="A366" s="73">
        <v>44250</v>
      </c>
      <c r="B366" s="14">
        <v>10</v>
      </c>
      <c r="C366" s="14">
        <v>10</v>
      </c>
      <c r="D366" s="14">
        <v>10</v>
      </c>
      <c r="E366" s="26" t="s">
        <v>33</v>
      </c>
      <c r="F366" t="s">
        <v>22</v>
      </c>
    </row>
    <row r="367" spans="1:6" ht="15.6" x14ac:dyDescent="0.3">
      <c r="A367" s="73">
        <v>44250</v>
      </c>
      <c r="B367" s="14">
        <v>10</v>
      </c>
      <c r="C367" s="14">
        <v>10</v>
      </c>
      <c r="D367" s="14">
        <v>10</v>
      </c>
      <c r="E367" s="26" t="s">
        <v>33</v>
      </c>
      <c r="F367" t="s">
        <v>22</v>
      </c>
    </row>
    <row r="368" spans="1:6" ht="15.6" x14ac:dyDescent="0.3">
      <c r="A368" s="73">
        <v>44250</v>
      </c>
      <c r="B368" s="14">
        <v>10</v>
      </c>
      <c r="C368" s="14">
        <v>10</v>
      </c>
      <c r="D368" s="14">
        <v>10</v>
      </c>
      <c r="E368" s="26" t="s">
        <v>33</v>
      </c>
      <c r="F368" t="s">
        <v>22</v>
      </c>
    </row>
    <row r="369" spans="1:6" ht="15.6" x14ac:dyDescent="0.3">
      <c r="A369" s="73">
        <v>44250</v>
      </c>
      <c r="B369" s="14">
        <v>10</v>
      </c>
      <c r="C369" s="14">
        <v>10</v>
      </c>
      <c r="D369" s="14">
        <v>10</v>
      </c>
      <c r="E369" s="26" t="s">
        <v>33</v>
      </c>
      <c r="F369" t="s">
        <v>22</v>
      </c>
    </row>
    <row r="370" spans="1:6" ht="15.6" x14ac:dyDescent="0.3">
      <c r="A370" s="73">
        <v>44257</v>
      </c>
      <c r="B370" s="14">
        <v>10</v>
      </c>
      <c r="C370" s="14">
        <v>10</v>
      </c>
      <c r="D370" s="14">
        <v>10</v>
      </c>
      <c r="E370" s="26" t="s">
        <v>33</v>
      </c>
      <c r="F370" t="s">
        <v>22</v>
      </c>
    </row>
    <row r="371" spans="1:6" ht="15.6" x14ac:dyDescent="0.3">
      <c r="A371" s="73">
        <v>44257</v>
      </c>
      <c r="B371" s="14">
        <v>10</v>
      </c>
      <c r="C371" s="14">
        <v>10</v>
      </c>
      <c r="D371" s="14">
        <v>10</v>
      </c>
      <c r="E371" s="26" t="s">
        <v>33</v>
      </c>
      <c r="F371" t="s">
        <v>22</v>
      </c>
    </row>
    <row r="372" spans="1:6" ht="15.6" x14ac:dyDescent="0.3">
      <c r="A372" s="73">
        <v>44257</v>
      </c>
      <c r="B372" s="14">
        <v>11</v>
      </c>
      <c r="C372" s="14">
        <v>11</v>
      </c>
      <c r="D372" s="14">
        <v>11</v>
      </c>
      <c r="E372" s="26" t="s">
        <v>33</v>
      </c>
      <c r="F372" t="s">
        <v>22</v>
      </c>
    </row>
    <row r="373" spans="1:6" ht="15.6" x14ac:dyDescent="0.3">
      <c r="A373" s="73">
        <v>44257</v>
      </c>
      <c r="B373" s="14">
        <v>10</v>
      </c>
      <c r="C373" s="14">
        <v>10</v>
      </c>
      <c r="D373" s="14">
        <v>10</v>
      </c>
      <c r="E373" s="26" t="s">
        <v>33</v>
      </c>
      <c r="F373" t="s">
        <v>22</v>
      </c>
    </row>
    <row r="374" spans="1:6" ht="15.6" x14ac:dyDescent="0.3">
      <c r="A374" s="73">
        <v>44263</v>
      </c>
      <c r="B374" s="14">
        <v>10</v>
      </c>
      <c r="C374" s="14">
        <v>10</v>
      </c>
      <c r="D374" s="14">
        <v>10</v>
      </c>
      <c r="E374" s="26" t="s">
        <v>33</v>
      </c>
      <c r="F374" t="s">
        <v>22</v>
      </c>
    </row>
    <row r="375" spans="1:6" ht="15.6" x14ac:dyDescent="0.3">
      <c r="A375" s="10">
        <v>44263</v>
      </c>
      <c r="B375" s="14">
        <v>10</v>
      </c>
      <c r="C375" s="14">
        <v>10</v>
      </c>
      <c r="D375" s="14">
        <v>10</v>
      </c>
      <c r="E375" s="26" t="s">
        <v>33</v>
      </c>
      <c r="F375" t="s">
        <v>22</v>
      </c>
    </row>
    <row r="376" spans="1:6" ht="15.6" x14ac:dyDescent="0.3">
      <c r="A376" s="73">
        <v>44263</v>
      </c>
      <c r="B376" s="14">
        <v>10</v>
      </c>
      <c r="C376" s="14">
        <v>10</v>
      </c>
      <c r="D376" s="14">
        <v>10</v>
      </c>
      <c r="E376" s="26" t="s">
        <v>33</v>
      </c>
      <c r="F376" t="s">
        <v>22</v>
      </c>
    </row>
    <row r="377" spans="1:6" ht="15.6" x14ac:dyDescent="0.3">
      <c r="A377" s="10">
        <v>44263</v>
      </c>
      <c r="B377" s="14">
        <v>10</v>
      </c>
      <c r="C377" s="14">
        <v>10</v>
      </c>
      <c r="D377" s="14">
        <v>10</v>
      </c>
      <c r="E377" s="26" t="s">
        <v>33</v>
      </c>
      <c r="F377" t="s">
        <v>22</v>
      </c>
    </row>
    <row r="378" spans="1:6" ht="15.6" x14ac:dyDescent="0.3">
      <c r="A378" s="73">
        <v>44264</v>
      </c>
      <c r="B378" s="14">
        <v>11</v>
      </c>
      <c r="C378" s="14">
        <v>11</v>
      </c>
      <c r="D378" s="14">
        <v>11</v>
      </c>
      <c r="E378" s="26" t="s">
        <v>33</v>
      </c>
      <c r="F378" t="s">
        <v>22</v>
      </c>
    </row>
    <row r="379" spans="1:6" ht="15.6" x14ac:dyDescent="0.3">
      <c r="A379" s="73">
        <v>44264</v>
      </c>
      <c r="B379" s="14">
        <v>10</v>
      </c>
      <c r="C379" s="14">
        <v>10</v>
      </c>
      <c r="D379" s="14">
        <v>10</v>
      </c>
      <c r="E379" s="26" t="s">
        <v>33</v>
      </c>
      <c r="F379" t="s">
        <v>22</v>
      </c>
    </row>
    <row r="380" spans="1:6" ht="15.6" x14ac:dyDescent="0.3">
      <c r="A380" s="73">
        <v>44264</v>
      </c>
      <c r="B380" s="14">
        <v>10</v>
      </c>
      <c r="C380" s="14">
        <v>10</v>
      </c>
      <c r="D380" s="14">
        <v>10</v>
      </c>
      <c r="E380" s="26" t="s">
        <v>33</v>
      </c>
      <c r="F380" t="s">
        <v>22</v>
      </c>
    </row>
    <row r="381" spans="1:6" ht="15.6" x14ac:dyDescent="0.3">
      <c r="A381" s="73">
        <v>44264</v>
      </c>
      <c r="B381" s="14">
        <v>10</v>
      </c>
      <c r="C381" s="14">
        <v>10</v>
      </c>
      <c r="D381" s="14">
        <v>10</v>
      </c>
      <c r="E381" s="26" t="s">
        <v>33</v>
      </c>
      <c r="F381" t="s">
        <v>22</v>
      </c>
    </row>
    <row r="382" spans="1:6" x14ac:dyDescent="0.3">
      <c r="A382" s="73">
        <v>44270</v>
      </c>
      <c r="B382" s="11">
        <v>11</v>
      </c>
      <c r="C382" s="11">
        <v>11</v>
      </c>
      <c r="D382" s="11">
        <v>11</v>
      </c>
      <c r="E382" s="26" t="s">
        <v>33</v>
      </c>
      <c r="F382" t="s">
        <v>22</v>
      </c>
    </row>
    <row r="383" spans="1:6" x14ac:dyDescent="0.3">
      <c r="A383" s="73">
        <v>44270</v>
      </c>
      <c r="B383" s="11">
        <v>10</v>
      </c>
      <c r="C383" s="11">
        <v>10</v>
      </c>
      <c r="D383" s="11">
        <v>10</v>
      </c>
      <c r="E383" s="26" t="s">
        <v>33</v>
      </c>
      <c r="F383" t="s">
        <v>22</v>
      </c>
    </row>
    <row r="384" spans="1:6" x14ac:dyDescent="0.3">
      <c r="A384" s="73">
        <v>44270</v>
      </c>
      <c r="B384" s="11">
        <v>10</v>
      </c>
      <c r="C384" s="11">
        <v>10</v>
      </c>
      <c r="D384" s="11">
        <v>10</v>
      </c>
      <c r="E384" s="26" t="s">
        <v>33</v>
      </c>
      <c r="F384" t="s">
        <v>22</v>
      </c>
    </row>
    <row r="385" spans="1:6" x14ac:dyDescent="0.3">
      <c r="A385" s="73">
        <v>44270</v>
      </c>
      <c r="B385" s="11">
        <v>10</v>
      </c>
      <c r="C385" s="11">
        <v>10</v>
      </c>
      <c r="D385" s="11">
        <v>10</v>
      </c>
      <c r="E385" s="26" t="s">
        <v>33</v>
      </c>
      <c r="F385" t="s">
        <v>22</v>
      </c>
    </row>
    <row r="386" spans="1:6" x14ac:dyDescent="0.3">
      <c r="A386" s="73">
        <v>44271</v>
      </c>
      <c r="B386" s="11">
        <v>10</v>
      </c>
      <c r="C386" s="11">
        <v>10</v>
      </c>
      <c r="D386" s="11">
        <v>10</v>
      </c>
      <c r="E386" s="26" t="s">
        <v>33</v>
      </c>
      <c r="F386" t="s">
        <v>22</v>
      </c>
    </row>
    <row r="387" spans="1:6" x14ac:dyDescent="0.3">
      <c r="A387" s="73">
        <v>44271</v>
      </c>
      <c r="B387" s="11">
        <v>10</v>
      </c>
      <c r="C387" s="11">
        <v>10</v>
      </c>
      <c r="D387" s="11">
        <v>10</v>
      </c>
      <c r="E387" s="26" t="s">
        <v>33</v>
      </c>
      <c r="F387" t="s">
        <v>22</v>
      </c>
    </row>
    <row r="388" spans="1:6" x14ac:dyDescent="0.3">
      <c r="A388" s="73">
        <v>44271</v>
      </c>
      <c r="B388" s="11">
        <v>10</v>
      </c>
      <c r="C388" s="11">
        <v>10</v>
      </c>
      <c r="D388" s="11">
        <v>10</v>
      </c>
      <c r="E388" s="26" t="s">
        <v>33</v>
      </c>
      <c r="F388" t="s">
        <v>22</v>
      </c>
    </row>
    <row r="389" spans="1:6" x14ac:dyDescent="0.3">
      <c r="A389" s="73">
        <v>44271</v>
      </c>
      <c r="B389" s="11">
        <v>10</v>
      </c>
      <c r="C389" s="11">
        <v>10</v>
      </c>
      <c r="D389" s="11">
        <v>10</v>
      </c>
      <c r="E389" s="26" t="s">
        <v>33</v>
      </c>
      <c r="F389" t="s">
        <v>22</v>
      </c>
    </row>
    <row r="390" spans="1:6" x14ac:dyDescent="0.3">
      <c r="A390" s="73">
        <v>44273</v>
      </c>
      <c r="B390" s="11">
        <v>15</v>
      </c>
      <c r="C390" s="11">
        <v>15</v>
      </c>
      <c r="D390" s="11">
        <v>15</v>
      </c>
      <c r="E390" s="26" t="s">
        <v>33</v>
      </c>
      <c r="F390" t="s">
        <v>22</v>
      </c>
    </row>
    <row r="391" spans="1:6" x14ac:dyDescent="0.3">
      <c r="A391" s="73">
        <v>44273</v>
      </c>
      <c r="B391" s="11">
        <v>15</v>
      </c>
      <c r="C391" s="11">
        <v>15</v>
      </c>
      <c r="D391" s="11">
        <v>15</v>
      </c>
      <c r="E391" s="26" t="s">
        <v>33</v>
      </c>
      <c r="F391" t="s">
        <v>22</v>
      </c>
    </row>
    <row r="392" spans="1:6" x14ac:dyDescent="0.3">
      <c r="A392" s="73">
        <v>44273</v>
      </c>
      <c r="B392" s="11">
        <v>15</v>
      </c>
      <c r="C392" s="11">
        <v>15</v>
      </c>
      <c r="D392" s="11">
        <v>15</v>
      </c>
      <c r="E392" s="26" t="s">
        <v>33</v>
      </c>
      <c r="F392" t="s">
        <v>22</v>
      </c>
    </row>
    <row r="393" spans="1:6" x14ac:dyDescent="0.3">
      <c r="A393" s="73">
        <v>44277</v>
      </c>
      <c r="B393" s="11">
        <v>10</v>
      </c>
      <c r="C393" s="11">
        <v>10</v>
      </c>
      <c r="D393" s="11">
        <v>10</v>
      </c>
      <c r="E393" s="26" t="s">
        <v>33</v>
      </c>
      <c r="F393" t="s">
        <v>22</v>
      </c>
    </row>
    <row r="394" spans="1:6" x14ac:dyDescent="0.3">
      <c r="A394" s="73">
        <v>44277</v>
      </c>
      <c r="B394" s="11">
        <v>10</v>
      </c>
      <c r="C394" s="11">
        <v>10</v>
      </c>
      <c r="D394" s="11">
        <v>10</v>
      </c>
      <c r="E394" s="26" t="s">
        <v>33</v>
      </c>
      <c r="F394" t="s">
        <v>22</v>
      </c>
    </row>
    <row r="395" spans="1:6" x14ac:dyDescent="0.3">
      <c r="A395" s="73">
        <v>44277</v>
      </c>
      <c r="B395" s="11">
        <v>10</v>
      </c>
      <c r="C395" s="11">
        <v>10</v>
      </c>
      <c r="D395" s="11">
        <v>10</v>
      </c>
      <c r="E395" s="26" t="s">
        <v>33</v>
      </c>
      <c r="F395" t="s">
        <v>22</v>
      </c>
    </row>
    <row r="396" spans="1:6" x14ac:dyDescent="0.3">
      <c r="A396" s="73">
        <v>44277</v>
      </c>
      <c r="B396" s="11">
        <v>10</v>
      </c>
      <c r="C396" s="11">
        <v>10</v>
      </c>
      <c r="D396" s="11">
        <v>10</v>
      </c>
      <c r="E396" s="26" t="s">
        <v>33</v>
      </c>
      <c r="F396" t="s">
        <v>22</v>
      </c>
    </row>
    <row r="397" spans="1:6" x14ac:dyDescent="0.3">
      <c r="A397" s="73">
        <v>44278</v>
      </c>
      <c r="B397" s="11">
        <v>10</v>
      </c>
      <c r="C397" s="11">
        <v>10</v>
      </c>
      <c r="D397" s="11">
        <v>10</v>
      </c>
      <c r="E397" s="26" t="s">
        <v>33</v>
      </c>
      <c r="F397" t="s">
        <v>22</v>
      </c>
    </row>
    <row r="398" spans="1:6" x14ac:dyDescent="0.3">
      <c r="A398" s="73">
        <v>44278</v>
      </c>
      <c r="B398" s="11">
        <v>10</v>
      </c>
      <c r="C398" s="11">
        <v>10</v>
      </c>
      <c r="D398" s="11">
        <v>10</v>
      </c>
      <c r="E398" s="26" t="s">
        <v>33</v>
      </c>
      <c r="F398" t="s">
        <v>22</v>
      </c>
    </row>
    <row r="399" spans="1:6" x14ac:dyDescent="0.3">
      <c r="A399" s="73">
        <v>44278</v>
      </c>
      <c r="B399" s="11">
        <v>10</v>
      </c>
      <c r="C399" s="11">
        <v>10</v>
      </c>
      <c r="D399" s="11">
        <v>10</v>
      </c>
      <c r="E399" s="26" t="s">
        <v>33</v>
      </c>
      <c r="F399" t="s">
        <v>22</v>
      </c>
    </row>
    <row r="400" spans="1:6" x14ac:dyDescent="0.3">
      <c r="A400" s="73">
        <v>44278</v>
      </c>
      <c r="B400" s="11">
        <v>10</v>
      </c>
      <c r="C400" s="11">
        <v>10</v>
      </c>
      <c r="D400" s="11">
        <v>10</v>
      </c>
      <c r="E400" s="26" t="s">
        <v>33</v>
      </c>
      <c r="F400" t="s">
        <v>22</v>
      </c>
    </row>
    <row r="401" spans="1:6" x14ac:dyDescent="0.3">
      <c r="A401" s="73">
        <v>44284</v>
      </c>
      <c r="B401" s="11">
        <v>10</v>
      </c>
      <c r="C401" s="11">
        <v>10</v>
      </c>
      <c r="D401" s="11">
        <v>10</v>
      </c>
      <c r="E401" s="26" t="s">
        <v>33</v>
      </c>
      <c r="F401" t="s">
        <v>22</v>
      </c>
    </row>
    <row r="402" spans="1:6" x14ac:dyDescent="0.3">
      <c r="A402" s="73">
        <v>44284</v>
      </c>
      <c r="B402" s="11">
        <v>10</v>
      </c>
      <c r="C402" s="11">
        <v>10</v>
      </c>
      <c r="D402" s="11">
        <v>10</v>
      </c>
      <c r="E402" s="26" t="s">
        <v>33</v>
      </c>
      <c r="F402" t="s">
        <v>22</v>
      </c>
    </row>
    <row r="403" spans="1:6" x14ac:dyDescent="0.3">
      <c r="A403" s="73">
        <v>44284</v>
      </c>
      <c r="B403" s="11">
        <v>10</v>
      </c>
      <c r="C403" s="11">
        <v>10</v>
      </c>
      <c r="D403" s="11">
        <v>10</v>
      </c>
      <c r="E403" s="26" t="s">
        <v>33</v>
      </c>
      <c r="F403" t="s">
        <v>22</v>
      </c>
    </row>
    <row r="404" spans="1:6" x14ac:dyDescent="0.3">
      <c r="A404" s="73">
        <v>44284</v>
      </c>
      <c r="B404" s="11">
        <v>10</v>
      </c>
      <c r="C404" s="11">
        <v>10</v>
      </c>
      <c r="D404" s="11">
        <v>10</v>
      </c>
      <c r="E404" s="26" t="s">
        <v>33</v>
      </c>
      <c r="F404" t="s">
        <v>22</v>
      </c>
    </row>
    <row r="405" spans="1:6" x14ac:dyDescent="0.3">
      <c r="A405" s="73">
        <v>44285</v>
      </c>
      <c r="B405" s="11">
        <v>10</v>
      </c>
      <c r="C405" s="11">
        <v>10</v>
      </c>
      <c r="D405" s="11">
        <v>10</v>
      </c>
      <c r="E405" s="26" t="s">
        <v>33</v>
      </c>
      <c r="F405" t="s">
        <v>22</v>
      </c>
    </row>
    <row r="406" spans="1:6" x14ac:dyDescent="0.3">
      <c r="A406" s="73">
        <v>44285</v>
      </c>
      <c r="B406" s="11">
        <v>10</v>
      </c>
      <c r="C406" s="11">
        <v>10</v>
      </c>
      <c r="D406" s="11">
        <v>10</v>
      </c>
      <c r="E406" s="26" t="s">
        <v>33</v>
      </c>
      <c r="F406" t="s">
        <v>22</v>
      </c>
    </row>
    <row r="407" spans="1:6" x14ac:dyDescent="0.3">
      <c r="A407" s="73">
        <v>44285</v>
      </c>
      <c r="B407" s="11">
        <v>10</v>
      </c>
      <c r="C407" s="11">
        <v>10</v>
      </c>
      <c r="D407" s="11">
        <v>10</v>
      </c>
      <c r="E407" s="26" t="s">
        <v>33</v>
      </c>
      <c r="F407" t="s">
        <v>22</v>
      </c>
    </row>
    <row r="408" spans="1:6" x14ac:dyDescent="0.3">
      <c r="A408" s="73">
        <v>44285</v>
      </c>
      <c r="B408" s="11">
        <v>10</v>
      </c>
      <c r="C408" s="11">
        <v>10</v>
      </c>
      <c r="D408" s="11">
        <v>10</v>
      </c>
      <c r="E408" s="26" t="s">
        <v>33</v>
      </c>
      <c r="F408" t="s">
        <v>22</v>
      </c>
    </row>
    <row r="409" spans="1:6" x14ac:dyDescent="0.3">
      <c r="A409" s="73">
        <v>44291</v>
      </c>
      <c r="B409" s="11">
        <v>10</v>
      </c>
      <c r="C409" s="11">
        <v>10</v>
      </c>
      <c r="D409" s="11">
        <v>10</v>
      </c>
      <c r="E409" s="26" t="s">
        <v>33</v>
      </c>
      <c r="F409" t="s">
        <v>22</v>
      </c>
    </row>
    <row r="410" spans="1:6" x14ac:dyDescent="0.3">
      <c r="A410" s="73">
        <v>44291</v>
      </c>
      <c r="B410" s="11">
        <v>10</v>
      </c>
      <c r="C410" s="11">
        <v>10</v>
      </c>
      <c r="D410" s="11">
        <v>10</v>
      </c>
      <c r="E410" s="26" t="s">
        <v>33</v>
      </c>
      <c r="F410" t="s">
        <v>22</v>
      </c>
    </row>
    <row r="411" spans="1:6" x14ac:dyDescent="0.3">
      <c r="A411" s="73">
        <v>44291</v>
      </c>
      <c r="B411" s="11">
        <v>10</v>
      </c>
      <c r="C411" s="11">
        <v>10</v>
      </c>
      <c r="D411" s="11">
        <v>10</v>
      </c>
      <c r="E411" s="26" t="s">
        <v>33</v>
      </c>
      <c r="F411" t="s">
        <v>22</v>
      </c>
    </row>
    <row r="412" spans="1:6" x14ac:dyDescent="0.3">
      <c r="A412" s="73">
        <v>44291</v>
      </c>
      <c r="B412" s="11">
        <v>10</v>
      </c>
      <c r="C412" s="11">
        <v>10</v>
      </c>
      <c r="D412" s="11">
        <v>10</v>
      </c>
      <c r="E412" s="26" t="s">
        <v>33</v>
      </c>
      <c r="F412" t="s">
        <v>22</v>
      </c>
    </row>
    <row r="413" spans="1:6" x14ac:dyDescent="0.3">
      <c r="A413" s="73">
        <v>44292</v>
      </c>
      <c r="B413" s="11">
        <v>10</v>
      </c>
      <c r="C413" s="11">
        <v>10</v>
      </c>
      <c r="D413" s="11">
        <v>10</v>
      </c>
      <c r="E413" s="26" t="s">
        <v>33</v>
      </c>
      <c r="F413" t="s">
        <v>22</v>
      </c>
    </row>
    <row r="414" spans="1:6" x14ac:dyDescent="0.3">
      <c r="A414" s="73">
        <v>44292</v>
      </c>
      <c r="B414" s="11">
        <v>10</v>
      </c>
      <c r="C414" s="11">
        <v>10</v>
      </c>
      <c r="D414" s="11">
        <v>10</v>
      </c>
      <c r="E414" s="26" t="s">
        <v>33</v>
      </c>
      <c r="F414" t="s">
        <v>22</v>
      </c>
    </row>
    <row r="415" spans="1:6" x14ac:dyDescent="0.3">
      <c r="A415" s="73">
        <v>44292</v>
      </c>
      <c r="B415" s="11">
        <v>10</v>
      </c>
      <c r="C415" s="11">
        <v>10</v>
      </c>
      <c r="D415" s="11">
        <v>10</v>
      </c>
      <c r="E415" s="26" t="s">
        <v>33</v>
      </c>
      <c r="F415" t="s">
        <v>22</v>
      </c>
    </row>
    <row r="416" spans="1:6" x14ac:dyDescent="0.3">
      <c r="A416" s="73">
        <v>44292</v>
      </c>
      <c r="B416" s="11">
        <v>10</v>
      </c>
      <c r="C416" s="11">
        <v>10</v>
      </c>
      <c r="D416" s="11">
        <v>10</v>
      </c>
      <c r="E416" s="26" t="s">
        <v>33</v>
      </c>
      <c r="F416" t="s">
        <v>22</v>
      </c>
    </row>
    <row r="417" spans="1:6" x14ac:dyDescent="0.3">
      <c r="A417" s="74">
        <v>44294</v>
      </c>
      <c r="B417" s="11">
        <v>10</v>
      </c>
      <c r="C417" s="11">
        <v>10</v>
      </c>
      <c r="D417" s="11">
        <v>10</v>
      </c>
      <c r="E417" s="26" t="s">
        <v>33</v>
      </c>
      <c r="F417" t="s">
        <v>22</v>
      </c>
    </row>
    <row r="418" spans="1:6" x14ac:dyDescent="0.3">
      <c r="A418" s="74">
        <v>44294</v>
      </c>
      <c r="B418" s="11">
        <v>10</v>
      </c>
      <c r="C418" s="11">
        <v>10</v>
      </c>
      <c r="D418" s="11">
        <v>10</v>
      </c>
      <c r="E418" s="26" t="s">
        <v>33</v>
      </c>
      <c r="F418" t="s">
        <v>22</v>
      </c>
    </row>
    <row r="419" spans="1:6" x14ac:dyDescent="0.3">
      <c r="A419" s="74">
        <v>44298</v>
      </c>
      <c r="B419" s="11">
        <v>10</v>
      </c>
      <c r="C419" s="11">
        <v>10</v>
      </c>
      <c r="D419" s="11">
        <v>10</v>
      </c>
      <c r="E419" s="26" t="s">
        <v>33</v>
      </c>
      <c r="F419" t="s">
        <v>22</v>
      </c>
    </row>
    <row r="420" spans="1:6" x14ac:dyDescent="0.3">
      <c r="A420" s="74">
        <v>44298</v>
      </c>
      <c r="B420" s="11">
        <v>10</v>
      </c>
      <c r="C420" s="11">
        <v>10</v>
      </c>
      <c r="D420" s="11">
        <v>10</v>
      </c>
      <c r="E420" s="26" t="s">
        <v>33</v>
      </c>
      <c r="F420" t="s">
        <v>22</v>
      </c>
    </row>
    <row r="421" spans="1:6" x14ac:dyDescent="0.3">
      <c r="A421" s="74">
        <v>44298</v>
      </c>
      <c r="B421" s="11">
        <v>10</v>
      </c>
      <c r="C421" s="11">
        <v>10</v>
      </c>
      <c r="D421" s="11">
        <v>10</v>
      </c>
      <c r="E421" s="26" t="s">
        <v>33</v>
      </c>
      <c r="F421" t="s">
        <v>22</v>
      </c>
    </row>
    <row r="422" spans="1:6" x14ac:dyDescent="0.3">
      <c r="A422" s="74">
        <v>44299</v>
      </c>
      <c r="B422" s="11">
        <v>10</v>
      </c>
      <c r="C422" s="11">
        <v>10</v>
      </c>
      <c r="D422" s="11">
        <v>10</v>
      </c>
      <c r="E422" s="26" t="s">
        <v>33</v>
      </c>
      <c r="F422" t="s">
        <v>22</v>
      </c>
    </row>
    <row r="423" spans="1:6" x14ac:dyDescent="0.3">
      <c r="A423" s="74">
        <v>44299</v>
      </c>
      <c r="B423" s="11">
        <v>10</v>
      </c>
      <c r="C423" s="11">
        <v>10</v>
      </c>
      <c r="D423" s="11">
        <v>10</v>
      </c>
      <c r="E423" s="26" t="s">
        <v>33</v>
      </c>
      <c r="F423" t="s">
        <v>22</v>
      </c>
    </row>
    <row r="424" spans="1:6" x14ac:dyDescent="0.3">
      <c r="A424" s="74">
        <v>44299</v>
      </c>
      <c r="B424" s="11">
        <v>10</v>
      </c>
      <c r="C424" s="11">
        <v>10</v>
      </c>
      <c r="D424" s="11">
        <v>10</v>
      </c>
      <c r="E424" s="26" t="s">
        <v>33</v>
      </c>
      <c r="F424" t="s">
        <v>22</v>
      </c>
    </row>
    <row r="425" spans="1:6" x14ac:dyDescent="0.3">
      <c r="A425" s="74">
        <v>44300</v>
      </c>
      <c r="B425" s="11">
        <v>10</v>
      </c>
      <c r="C425" s="11">
        <v>10</v>
      </c>
      <c r="D425" s="11">
        <v>10</v>
      </c>
      <c r="E425" s="26" t="s">
        <v>33</v>
      </c>
      <c r="F425" t="s">
        <v>22</v>
      </c>
    </row>
    <row r="426" spans="1:6" x14ac:dyDescent="0.3">
      <c r="A426" s="73">
        <v>44300</v>
      </c>
      <c r="B426" s="11">
        <v>11</v>
      </c>
      <c r="C426" s="11">
        <v>11</v>
      </c>
      <c r="D426" s="11">
        <v>11</v>
      </c>
      <c r="E426" s="26" t="s">
        <v>33</v>
      </c>
      <c r="F426" t="s">
        <v>22</v>
      </c>
    </row>
    <row r="427" spans="1:6" x14ac:dyDescent="0.3">
      <c r="A427" s="74">
        <v>44300</v>
      </c>
      <c r="B427" s="11">
        <v>10</v>
      </c>
      <c r="C427" s="11">
        <v>10</v>
      </c>
      <c r="D427" s="11">
        <v>10</v>
      </c>
      <c r="E427" s="26" t="s">
        <v>33</v>
      </c>
      <c r="F427" t="s">
        <v>22</v>
      </c>
    </row>
    <row r="428" spans="1:6" x14ac:dyDescent="0.3">
      <c r="A428" s="73">
        <v>44300</v>
      </c>
      <c r="B428" s="11">
        <v>10</v>
      </c>
      <c r="C428" s="11">
        <v>10</v>
      </c>
      <c r="D428" s="11">
        <v>10</v>
      </c>
      <c r="E428" s="26" t="s">
        <v>33</v>
      </c>
      <c r="F428" t="s">
        <v>22</v>
      </c>
    </row>
    <row r="429" spans="1:6" x14ac:dyDescent="0.3">
      <c r="A429" s="73">
        <v>44301</v>
      </c>
      <c r="B429" s="11">
        <v>10</v>
      </c>
      <c r="C429" s="11">
        <v>10</v>
      </c>
      <c r="D429" s="11">
        <v>10</v>
      </c>
      <c r="E429" s="26" t="s">
        <v>33</v>
      </c>
      <c r="F429" t="s">
        <v>22</v>
      </c>
    </row>
    <row r="430" spans="1:6" x14ac:dyDescent="0.3">
      <c r="A430" s="73">
        <v>44301</v>
      </c>
      <c r="B430" s="11">
        <v>12</v>
      </c>
      <c r="C430" s="11">
        <v>12</v>
      </c>
      <c r="D430" s="11">
        <v>12</v>
      </c>
      <c r="E430" s="26" t="s">
        <v>33</v>
      </c>
      <c r="F430" t="s">
        <v>22</v>
      </c>
    </row>
    <row r="431" spans="1:6" x14ac:dyDescent="0.3">
      <c r="A431" s="73">
        <v>44305</v>
      </c>
      <c r="B431" s="11">
        <v>10</v>
      </c>
      <c r="C431" s="11">
        <v>10</v>
      </c>
      <c r="D431" s="11">
        <v>10</v>
      </c>
      <c r="E431" s="26" t="s">
        <v>33</v>
      </c>
      <c r="F431" t="s">
        <v>22</v>
      </c>
    </row>
    <row r="432" spans="1:6" x14ac:dyDescent="0.3">
      <c r="A432" s="73">
        <v>44305</v>
      </c>
      <c r="B432" s="11">
        <v>10</v>
      </c>
      <c r="C432" s="11">
        <v>10</v>
      </c>
      <c r="D432" s="11">
        <v>10</v>
      </c>
      <c r="E432" s="26" t="s">
        <v>33</v>
      </c>
      <c r="F432" t="s">
        <v>22</v>
      </c>
    </row>
    <row r="433" spans="1:6" x14ac:dyDescent="0.3">
      <c r="A433" s="73">
        <v>44305</v>
      </c>
      <c r="B433" s="11">
        <v>10</v>
      </c>
      <c r="C433" s="11">
        <v>10</v>
      </c>
      <c r="D433" s="11">
        <v>10</v>
      </c>
      <c r="E433" s="26" t="s">
        <v>33</v>
      </c>
      <c r="F433" t="s">
        <v>22</v>
      </c>
    </row>
    <row r="434" spans="1:6" x14ac:dyDescent="0.3">
      <c r="A434" s="73">
        <v>44305</v>
      </c>
      <c r="B434" s="11">
        <v>10</v>
      </c>
      <c r="C434" s="11">
        <v>10</v>
      </c>
      <c r="D434" s="11">
        <v>10</v>
      </c>
      <c r="E434" s="26" t="s">
        <v>33</v>
      </c>
      <c r="F434" t="s">
        <v>22</v>
      </c>
    </row>
    <row r="435" spans="1:6" x14ac:dyDescent="0.3">
      <c r="A435" s="73">
        <v>44306</v>
      </c>
      <c r="B435" s="11">
        <v>10</v>
      </c>
      <c r="C435" s="11">
        <v>10</v>
      </c>
      <c r="D435" s="11">
        <v>10</v>
      </c>
      <c r="E435" s="26" t="s">
        <v>33</v>
      </c>
      <c r="F435" t="s">
        <v>22</v>
      </c>
    </row>
    <row r="436" spans="1:6" x14ac:dyDescent="0.3">
      <c r="A436" s="73">
        <v>44306</v>
      </c>
      <c r="B436" s="11">
        <v>10</v>
      </c>
      <c r="C436" s="11">
        <v>10</v>
      </c>
      <c r="D436" s="11">
        <v>10</v>
      </c>
      <c r="E436" s="26" t="s">
        <v>33</v>
      </c>
      <c r="F436" t="s">
        <v>22</v>
      </c>
    </row>
    <row r="437" spans="1:6" x14ac:dyDescent="0.3">
      <c r="A437" s="73">
        <v>44306</v>
      </c>
      <c r="B437" s="11">
        <v>10</v>
      </c>
      <c r="C437" s="11">
        <v>10</v>
      </c>
      <c r="D437" s="11">
        <v>10</v>
      </c>
      <c r="E437" s="26" t="s">
        <v>33</v>
      </c>
      <c r="F437" t="s">
        <v>22</v>
      </c>
    </row>
    <row r="438" spans="1:6" x14ac:dyDescent="0.3">
      <c r="A438" s="73">
        <v>44306</v>
      </c>
      <c r="B438" s="11">
        <v>10</v>
      </c>
      <c r="C438" s="11">
        <v>10</v>
      </c>
      <c r="D438" s="11">
        <v>10</v>
      </c>
      <c r="E438" s="26" t="s">
        <v>33</v>
      </c>
      <c r="F438" t="s">
        <v>22</v>
      </c>
    </row>
    <row r="439" spans="1:6" x14ac:dyDescent="0.3">
      <c r="A439" s="73">
        <v>44307</v>
      </c>
      <c r="B439" s="11">
        <v>11</v>
      </c>
      <c r="C439" s="11">
        <v>11</v>
      </c>
      <c r="D439" s="11">
        <v>11</v>
      </c>
      <c r="E439" s="26" t="s">
        <v>33</v>
      </c>
      <c r="F439" t="s">
        <v>22</v>
      </c>
    </row>
    <row r="440" spans="1:6" x14ac:dyDescent="0.3">
      <c r="A440" s="73">
        <v>44307</v>
      </c>
      <c r="B440" s="11">
        <v>7</v>
      </c>
      <c r="C440" s="11">
        <v>7</v>
      </c>
      <c r="D440" s="11">
        <v>7</v>
      </c>
      <c r="E440" s="26" t="s">
        <v>33</v>
      </c>
      <c r="F440" t="s">
        <v>22</v>
      </c>
    </row>
    <row r="441" spans="1:6" x14ac:dyDescent="0.3">
      <c r="A441" s="73">
        <v>44308</v>
      </c>
      <c r="B441" s="11">
        <v>9</v>
      </c>
      <c r="C441" s="11">
        <v>9</v>
      </c>
      <c r="D441" s="11">
        <v>9</v>
      </c>
      <c r="E441" s="26" t="s">
        <v>33</v>
      </c>
      <c r="F441" t="s">
        <v>22</v>
      </c>
    </row>
    <row r="442" spans="1:6" x14ac:dyDescent="0.3">
      <c r="A442" s="73">
        <v>44312</v>
      </c>
      <c r="B442" s="11">
        <v>10</v>
      </c>
      <c r="C442" s="11">
        <v>10</v>
      </c>
      <c r="D442" s="11">
        <v>10</v>
      </c>
      <c r="E442" s="26" t="s">
        <v>33</v>
      </c>
      <c r="F442" t="s">
        <v>22</v>
      </c>
    </row>
    <row r="443" spans="1:6" x14ac:dyDescent="0.3">
      <c r="A443" s="73">
        <v>44312</v>
      </c>
      <c r="B443" s="11">
        <v>10</v>
      </c>
      <c r="C443" s="11">
        <v>10</v>
      </c>
      <c r="D443" s="11">
        <v>10</v>
      </c>
      <c r="E443" s="26" t="s">
        <v>33</v>
      </c>
      <c r="F443" t="s">
        <v>22</v>
      </c>
    </row>
    <row r="444" spans="1:6" x14ac:dyDescent="0.3">
      <c r="A444" s="73">
        <v>44312</v>
      </c>
      <c r="B444" s="11">
        <v>10</v>
      </c>
      <c r="C444" s="11">
        <v>10</v>
      </c>
      <c r="D444" s="11">
        <v>10</v>
      </c>
      <c r="E444" s="26" t="s">
        <v>33</v>
      </c>
      <c r="F444" t="s">
        <v>22</v>
      </c>
    </row>
    <row r="445" spans="1:6" x14ac:dyDescent="0.3">
      <c r="A445" s="73">
        <v>44312</v>
      </c>
      <c r="B445" s="11">
        <v>10</v>
      </c>
      <c r="C445" s="11">
        <v>10</v>
      </c>
      <c r="D445" s="11">
        <v>10</v>
      </c>
      <c r="E445" s="26" t="s">
        <v>33</v>
      </c>
      <c r="F445" t="s">
        <v>22</v>
      </c>
    </row>
    <row r="446" spans="1:6" x14ac:dyDescent="0.3">
      <c r="A446" s="73">
        <v>44313</v>
      </c>
      <c r="B446" s="11">
        <v>10</v>
      </c>
      <c r="C446" s="11">
        <v>10</v>
      </c>
      <c r="D446" s="11">
        <v>10</v>
      </c>
      <c r="E446" s="26" t="s">
        <v>33</v>
      </c>
      <c r="F446" t="s">
        <v>22</v>
      </c>
    </row>
    <row r="447" spans="1:6" x14ac:dyDescent="0.3">
      <c r="A447" s="73">
        <v>44313</v>
      </c>
      <c r="B447" s="11">
        <v>10</v>
      </c>
      <c r="C447" s="11">
        <v>10</v>
      </c>
      <c r="D447" s="11">
        <v>10</v>
      </c>
      <c r="E447" s="26" t="s">
        <v>33</v>
      </c>
      <c r="F447" t="s">
        <v>22</v>
      </c>
    </row>
    <row r="448" spans="1:6" x14ac:dyDescent="0.3">
      <c r="A448" s="73">
        <v>44313</v>
      </c>
      <c r="B448" s="11">
        <v>10</v>
      </c>
      <c r="C448" s="11">
        <v>10</v>
      </c>
      <c r="D448" s="11">
        <v>10</v>
      </c>
      <c r="E448" s="26" t="s">
        <v>33</v>
      </c>
      <c r="F448" t="s">
        <v>22</v>
      </c>
    </row>
    <row r="449" spans="1:6" x14ac:dyDescent="0.3">
      <c r="A449" s="73">
        <v>44313</v>
      </c>
      <c r="B449" s="11">
        <v>10</v>
      </c>
      <c r="C449" s="11">
        <v>10</v>
      </c>
      <c r="D449" s="11">
        <v>10</v>
      </c>
      <c r="E449" s="26" t="s">
        <v>33</v>
      </c>
      <c r="F449" t="s">
        <v>22</v>
      </c>
    </row>
    <row r="450" spans="1:6" x14ac:dyDescent="0.3">
      <c r="A450" s="73">
        <v>44319</v>
      </c>
      <c r="B450" s="11">
        <v>10</v>
      </c>
      <c r="C450" s="11">
        <v>10</v>
      </c>
      <c r="D450" s="11">
        <v>10</v>
      </c>
      <c r="E450" s="26" t="s">
        <v>33</v>
      </c>
      <c r="F450" t="s">
        <v>22</v>
      </c>
    </row>
    <row r="451" spans="1:6" x14ac:dyDescent="0.3">
      <c r="A451" s="73">
        <v>44319</v>
      </c>
      <c r="B451" s="11">
        <v>10</v>
      </c>
      <c r="C451" s="11">
        <v>10</v>
      </c>
      <c r="D451" s="11">
        <v>10</v>
      </c>
      <c r="E451" s="26" t="s">
        <v>33</v>
      </c>
      <c r="F451" t="s">
        <v>22</v>
      </c>
    </row>
    <row r="452" spans="1:6" x14ac:dyDescent="0.3">
      <c r="A452" s="73">
        <v>44319</v>
      </c>
      <c r="B452" s="11">
        <v>10</v>
      </c>
      <c r="C452" s="11">
        <v>10</v>
      </c>
      <c r="D452" s="11">
        <v>10</v>
      </c>
      <c r="E452" s="26" t="s">
        <v>33</v>
      </c>
      <c r="F452" t="s">
        <v>22</v>
      </c>
    </row>
    <row r="453" spans="1:6" x14ac:dyDescent="0.3">
      <c r="A453" s="73">
        <v>44319</v>
      </c>
      <c r="B453" s="11">
        <v>10</v>
      </c>
      <c r="C453" s="11">
        <v>10</v>
      </c>
      <c r="D453" s="11">
        <v>10</v>
      </c>
      <c r="E453" s="26" t="s">
        <v>33</v>
      </c>
      <c r="F453" t="s">
        <v>22</v>
      </c>
    </row>
    <row r="454" spans="1:6" x14ac:dyDescent="0.3">
      <c r="A454" s="73">
        <v>44320</v>
      </c>
      <c r="B454" s="11">
        <v>10</v>
      </c>
      <c r="C454" s="11">
        <v>10</v>
      </c>
      <c r="D454" s="11">
        <v>10</v>
      </c>
      <c r="E454" s="26" t="s">
        <v>33</v>
      </c>
      <c r="F454" t="s">
        <v>22</v>
      </c>
    </row>
    <row r="455" spans="1:6" x14ac:dyDescent="0.3">
      <c r="A455" s="73">
        <v>44320</v>
      </c>
      <c r="B455" s="11">
        <v>10</v>
      </c>
      <c r="C455" s="11">
        <v>10</v>
      </c>
      <c r="D455" s="11">
        <v>10</v>
      </c>
      <c r="E455" s="26" t="s">
        <v>33</v>
      </c>
      <c r="F455" t="s">
        <v>22</v>
      </c>
    </row>
    <row r="456" spans="1:6" x14ac:dyDescent="0.3">
      <c r="A456" s="73">
        <v>44320</v>
      </c>
      <c r="B456" s="11">
        <v>10</v>
      </c>
      <c r="C456" s="11">
        <v>10</v>
      </c>
      <c r="D456" s="11">
        <v>10</v>
      </c>
      <c r="E456" s="26" t="s">
        <v>33</v>
      </c>
      <c r="F456" t="s">
        <v>22</v>
      </c>
    </row>
    <row r="457" spans="1:6" x14ac:dyDescent="0.3">
      <c r="A457" s="73">
        <v>44320</v>
      </c>
      <c r="B457" s="11">
        <v>10</v>
      </c>
      <c r="C457" s="11">
        <v>10</v>
      </c>
      <c r="D457" s="11">
        <v>10</v>
      </c>
      <c r="E457" s="26" t="s">
        <v>33</v>
      </c>
      <c r="F457" t="s">
        <v>22</v>
      </c>
    </row>
    <row r="458" spans="1:6" x14ac:dyDescent="0.3">
      <c r="A458" s="73">
        <v>44321</v>
      </c>
      <c r="B458" s="11">
        <v>20</v>
      </c>
      <c r="C458" s="11">
        <v>20</v>
      </c>
      <c r="D458" s="11">
        <v>20</v>
      </c>
      <c r="E458" s="26" t="s">
        <v>33</v>
      </c>
      <c r="F458" t="s">
        <v>22</v>
      </c>
    </row>
    <row r="459" spans="1:6" x14ac:dyDescent="0.3">
      <c r="A459" s="73">
        <v>44321</v>
      </c>
      <c r="B459" s="11">
        <v>19</v>
      </c>
      <c r="C459" s="11">
        <v>19</v>
      </c>
      <c r="D459" s="11">
        <v>19</v>
      </c>
      <c r="E459" s="26" t="s">
        <v>33</v>
      </c>
      <c r="F459" t="s">
        <v>22</v>
      </c>
    </row>
    <row r="460" spans="1:6" x14ac:dyDescent="0.3">
      <c r="A460" s="73">
        <v>44322</v>
      </c>
      <c r="B460" s="11">
        <v>20</v>
      </c>
      <c r="C460" s="11">
        <v>20</v>
      </c>
      <c r="D460" s="11">
        <v>20</v>
      </c>
      <c r="E460" s="26" t="s">
        <v>33</v>
      </c>
      <c r="F460" t="s">
        <v>22</v>
      </c>
    </row>
    <row r="461" spans="1:6" x14ac:dyDescent="0.3">
      <c r="A461" s="73">
        <v>44322</v>
      </c>
      <c r="B461" s="11">
        <v>14</v>
      </c>
      <c r="C461" s="11">
        <v>14</v>
      </c>
      <c r="D461" s="11">
        <v>14</v>
      </c>
      <c r="E461" s="26" t="s">
        <v>33</v>
      </c>
      <c r="F461" t="s">
        <v>22</v>
      </c>
    </row>
    <row r="462" spans="1:6" x14ac:dyDescent="0.3">
      <c r="A462" s="73">
        <v>44326</v>
      </c>
      <c r="B462" s="11">
        <v>10</v>
      </c>
      <c r="C462" s="11">
        <v>10</v>
      </c>
      <c r="D462" s="11">
        <v>10</v>
      </c>
      <c r="E462" s="26" t="s">
        <v>33</v>
      </c>
      <c r="F462" t="s">
        <v>22</v>
      </c>
    </row>
    <row r="463" spans="1:6" x14ac:dyDescent="0.3">
      <c r="A463" s="73">
        <v>44326</v>
      </c>
      <c r="B463" s="11">
        <v>10</v>
      </c>
      <c r="C463" s="11">
        <v>10</v>
      </c>
      <c r="D463" s="11">
        <v>10</v>
      </c>
      <c r="E463" s="26" t="s">
        <v>33</v>
      </c>
      <c r="F463" t="s">
        <v>22</v>
      </c>
    </row>
    <row r="464" spans="1:6" x14ac:dyDescent="0.3">
      <c r="A464" s="73">
        <v>44326</v>
      </c>
      <c r="B464" s="11">
        <v>10</v>
      </c>
      <c r="C464" s="11">
        <v>10</v>
      </c>
      <c r="D464" s="11">
        <v>10</v>
      </c>
      <c r="E464" s="26" t="s">
        <v>33</v>
      </c>
      <c r="F464" t="s">
        <v>22</v>
      </c>
    </row>
    <row r="465" spans="1:6" x14ac:dyDescent="0.3">
      <c r="A465" s="73">
        <v>44326</v>
      </c>
      <c r="B465" s="11">
        <v>10</v>
      </c>
      <c r="C465" s="11">
        <v>10</v>
      </c>
      <c r="D465" s="11">
        <v>10</v>
      </c>
      <c r="E465" s="26" t="s">
        <v>33</v>
      </c>
      <c r="F465" t="s">
        <v>22</v>
      </c>
    </row>
    <row r="466" spans="1:6" x14ac:dyDescent="0.3">
      <c r="A466" s="73">
        <v>44327</v>
      </c>
      <c r="B466" s="11">
        <v>10</v>
      </c>
      <c r="C466" s="11">
        <v>10</v>
      </c>
      <c r="D466" s="11">
        <v>10</v>
      </c>
      <c r="E466" s="26" t="s">
        <v>33</v>
      </c>
      <c r="F466" t="s">
        <v>22</v>
      </c>
    </row>
    <row r="467" spans="1:6" x14ac:dyDescent="0.3">
      <c r="A467" s="73">
        <v>44327</v>
      </c>
      <c r="B467" s="11">
        <v>10</v>
      </c>
      <c r="C467" s="11">
        <v>10</v>
      </c>
      <c r="D467" s="11">
        <v>10</v>
      </c>
      <c r="E467" s="26" t="s">
        <v>33</v>
      </c>
      <c r="F467" t="s">
        <v>22</v>
      </c>
    </row>
    <row r="468" spans="1:6" x14ac:dyDescent="0.3">
      <c r="A468" s="73">
        <v>44327</v>
      </c>
      <c r="B468" s="11">
        <v>10</v>
      </c>
      <c r="C468" s="11">
        <v>10</v>
      </c>
      <c r="D468" s="11">
        <v>10</v>
      </c>
      <c r="E468" s="26" t="s">
        <v>33</v>
      </c>
      <c r="F468" t="s">
        <v>22</v>
      </c>
    </row>
    <row r="469" spans="1:6" x14ac:dyDescent="0.3">
      <c r="A469" s="73">
        <v>44327</v>
      </c>
      <c r="B469" s="11">
        <v>10</v>
      </c>
      <c r="C469" s="11">
        <v>10</v>
      </c>
      <c r="D469" s="11">
        <v>10</v>
      </c>
      <c r="E469" s="26" t="s">
        <v>33</v>
      </c>
      <c r="F469" t="s">
        <v>22</v>
      </c>
    </row>
    <row r="470" spans="1:6" x14ac:dyDescent="0.3">
      <c r="A470" s="73">
        <v>44327</v>
      </c>
      <c r="B470" s="11">
        <v>16</v>
      </c>
      <c r="C470" s="11">
        <v>16</v>
      </c>
      <c r="D470" s="11">
        <v>16</v>
      </c>
      <c r="E470" s="26" t="s">
        <v>33</v>
      </c>
      <c r="F470" t="s">
        <v>22</v>
      </c>
    </row>
    <row r="471" spans="1:6" x14ac:dyDescent="0.3">
      <c r="A471" s="73">
        <v>44327</v>
      </c>
      <c r="B471" s="11">
        <v>14</v>
      </c>
      <c r="C471" s="11">
        <v>14</v>
      </c>
      <c r="D471" s="11">
        <v>14</v>
      </c>
      <c r="E471" s="26" t="s">
        <v>33</v>
      </c>
      <c r="F471" t="s">
        <v>22</v>
      </c>
    </row>
    <row r="472" spans="1:6" x14ac:dyDescent="0.3">
      <c r="A472" s="73">
        <v>44333</v>
      </c>
      <c r="B472" s="11">
        <v>10</v>
      </c>
      <c r="C472" s="11">
        <v>10</v>
      </c>
      <c r="D472" s="11">
        <v>10</v>
      </c>
      <c r="E472" s="26" t="s">
        <v>33</v>
      </c>
      <c r="F472" t="s">
        <v>22</v>
      </c>
    </row>
    <row r="473" spans="1:6" x14ac:dyDescent="0.3">
      <c r="A473" s="73">
        <v>44333</v>
      </c>
      <c r="B473" s="11">
        <v>10</v>
      </c>
      <c r="C473" s="11">
        <v>10</v>
      </c>
      <c r="D473" s="11">
        <v>10</v>
      </c>
      <c r="E473" s="26" t="s">
        <v>33</v>
      </c>
      <c r="F473" t="s">
        <v>22</v>
      </c>
    </row>
    <row r="474" spans="1:6" x14ac:dyDescent="0.3">
      <c r="A474" s="73">
        <v>44333</v>
      </c>
      <c r="B474" s="11">
        <v>10</v>
      </c>
      <c r="C474" s="11">
        <v>10</v>
      </c>
      <c r="D474" s="11">
        <v>10</v>
      </c>
      <c r="E474" s="26" t="s">
        <v>33</v>
      </c>
      <c r="F474" t="s">
        <v>22</v>
      </c>
    </row>
    <row r="475" spans="1:6" x14ac:dyDescent="0.3">
      <c r="A475" s="73">
        <v>44333</v>
      </c>
      <c r="B475" s="11">
        <v>10</v>
      </c>
      <c r="C475" s="11">
        <v>10</v>
      </c>
      <c r="D475" s="11">
        <v>10</v>
      </c>
      <c r="E475" s="26" t="s">
        <v>33</v>
      </c>
      <c r="F475" t="s">
        <v>22</v>
      </c>
    </row>
    <row r="476" spans="1:6" x14ac:dyDescent="0.3">
      <c r="A476" s="73">
        <v>44334</v>
      </c>
      <c r="B476" s="11">
        <v>12</v>
      </c>
      <c r="C476" s="11">
        <v>12</v>
      </c>
      <c r="D476" s="11">
        <v>12</v>
      </c>
      <c r="E476" s="26" t="s">
        <v>33</v>
      </c>
      <c r="F476" t="s">
        <v>22</v>
      </c>
    </row>
    <row r="477" spans="1:6" x14ac:dyDescent="0.3">
      <c r="A477" s="73">
        <v>44334</v>
      </c>
      <c r="B477" s="11">
        <v>12</v>
      </c>
      <c r="C477" s="11">
        <v>12</v>
      </c>
      <c r="D477" s="11">
        <v>12</v>
      </c>
      <c r="E477" s="26" t="s">
        <v>33</v>
      </c>
      <c r="F477" t="s">
        <v>22</v>
      </c>
    </row>
    <row r="478" spans="1:6" x14ac:dyDescent="0.3">
      <c r="A478" s="73">
        <v>44334</v>
      </c>
      <c r="B478" s="11">
        <v>10</v>
      </c>
      <c r="C478" s="11">
        <v>10</v>
      </c>
      <c r="D478" s="11">
        <v>10</v>
      </c>
      <c r="E478" s="26" t="s">
        <v>33</v>
      </c>
      <c r="F478" t="s">
        <v>22</v>
      </c>
    </row>
    <row r="479" spans="1:6" x14ac:dyDescent="0.3">
      <c r="A479" s="73">
        <v>44334</v>
      </c>
      <c r="B479" s="11">
        <v>10</v>
      </c>
      <c r="C479" s="11">
        <v>10</v>
      </c>
      <c r="D479" s="11">
        <v>10</v>
      </c>
      <c r="E479" s="26" t="s">
        <v>33</v>
      </c>
      <c r="F479" t="s">
        <v>22</v>
      </c>
    </row>
    <row r="480" spans="1:6" x14ac:dyDescent="0.3">
      <c r="A480" s="73">
        <v>44334</v>
      </c>
      <c r="B480" s="11">
        <v>10</v>
      </c>
      <c r="C480" s="11">
        <v>10</v>
      </c>
      <c r="D480" s="11">
        <v>10</v>
      </c>
      <c r="E480" s="26" t="s">
        <v>33</v>
      </c>
      <c r="F480" t="s">
        <v>22</v>
      </c>
    </row>
    <row r="481" spans="1:6" x14ac:dyDescent="0.3">
      <c r="A481" s="73">
        <v>44334</v>
      </c>
      <c r="B481" s="11">
        <v>10</v>
      </c>
      <c r="C481" s="11">
        <v>10</v>
      </c>
      <c r="D481" s="11">
        <v>10</v>
      </c>
      <c r="E481" s="26" t="s">
        <v>33</v>
      </c>
      <c r="F481" t="s">
        <v>22</v>
      </c>
    </row>
    <row r="482" spans="1:6" x14ac:dyDescent="0.3">
      <c r="A482" s="73">
        <v>44341</v>
      </c>
      <c r="B482" s="11">
        <v>10</v>
      </c>
      <c r="C482" s="11">
        <v>10</v>
      </c>
      <c r="D482" s="11">
        <v>10</v>
      </c>
      <c r="E482" s="26" t="s">
        <v>33</v>
      </c>
      <c r="F482" t="s">
        <v>22</v>
      </c>
    </row>
    <row r="483" spans="1:6" x14ac:dyDescent="0.3">
      <c r="A483" s="73">
        <v>44341</v>
      </c>
      <c r="B483" s="11">
        <v>10</v>
      </c>
      <c r="C483" s="11">
        <v>10</v>
      </c>
      <c r="D483" s="11">
        <v>10</v>
      </c>
      <c r="E483" s="26" t="s">
        <v>33</v>
      </c>
      <c r="F483" t="s">
        <v>22</v>
      </c>
    </row>
    <row r="484" spans="1:6" x14ac:dyDescent="0.3">
      <c r="A484" s="73">
        <v>44341</v>
      </c>
      <c r="B484" s="11">
        <v>10</v>
      </c>
      <c r="C484" s="11">
        <v>10</v>
      </c>
      <c r="D484" s="11">
        <v>10</v>
      </c>
      <c r="E484" s="26" t="s">
        <v>33</v>
      </c>
      <c r="F484" t="s">
        <v>22</v>
      </c>
    </row>
    <row r="485" spans="1:6" x14ac:dyDescent="0.3">
      <c r="A485" s="73">
        <v>44341</v>
      </c>
      <c r="B485" s="11">
        <v>10</v>
      </c>
      <c r="C485" s="11">
        <v>10</v>
      </c>
      <c r="D485" s="11">
        <v>10</v>
      </c>
      <c r="E485" s="26" t="s">
        <v>33</v>
      </c>
      <c r="F485" t="s">
        <v>22</v>
      </c>
    </row>
    <row r="486" spans="1:6" x14ac:dyDescent="0.3">
      <c r="A486" s="73">
        <v>44347</v>
      </c>
      <c r="B486" s="11">
        <v>10</v>
      </c>
      <c r="C486" s="11">
        <v>10</v>
      </c>
      <c r="D486" s="11">
        <v>10</v>
      </c>
      <c r="E486" s="26" t="s">
        <v>33</v>
      </c>
      <c r="F486" t="s">
        <v>22</v>
      </c>
    </row>
    <row r="487" spans="1:6" x14ac:dyDescent="0.3">
      <c r="A487" s="73">
        <v>44347</v>
      </c>
      <c r="B487" s="11">
        <v>10</v>
      </c>
      <c r="C487" s="11">
        <v>10</v>
      </c>
      <c r="D487" s="11">
        <v>10</v>
      </c>
      <c r="E487" s="26" t="s">
        <v>33</v>
      </c>
      <c r="F487" t="s">
        <v>22</v>
      </c>
    </row>
    <row r="488" spans="1:6" x14ac:dyDescent="0.3">
      <c r="A488" s="73">
        <v>44347</v>
      </c>
      <c r="B488" s="11">
        <v>10</v>
      </c>
      <c r="C488" s="11">
        <v>10</v>
      </c>
      <c r="D488" s="11">
        <v>10</v>
      </c>
      <c r="E488" s="26" t="s">
        <v>33</v>
      </c>
      <c r="F488" t="s">
        <v>22</v>
      </c>
    </row>
    <row r="489" spans="1:6" x14ac:dyDescent="0.3">
      <c r="A489" s="73">
        <v>44347</v>
      </c>
      <c r="B489" s="11">
        <v>10</v>
      </c>
      <c r="C489" s="11">
        <v>10</v>
      </c>
      <c r="D489" s="11">
        <v>10</v>
      </c>
      <c r="E489" s="26" t="s">
        <v>33</v>
      </c>
      <c r="F489" t="s">
        <v>22</v>
      </c>
    </row>
    <row r="490" spans="1:6" x14ac:dyDescent="0.3">
      <c r="A490" s="73">
        <v>44348</v>
      </c>
      <c r="B490" s="11">
        <v>10</v>
      </c>
      <c r="C490" s="11">
        <v>10</v>
      </c>
      <c r="D490" s="11">
        <v>10</v>
      </c>
      <c r="E490" s="26" t="s">
        <v>33</v>
      </c>
      <c r="F490" t="s">
        <v>22</v>
      </c>
    </row>
    <row r="491" spans="1:6" x14ac:dyDescent="0.3">
      <c r="A491" s="73">
        <v>44348</v>
      </c>
      <c r="B491" s="11">
        <v>10</v>
      </c>
      <c r="C491" s="11">
        <v>10</v>
      </c>
      <c r="D491" s="11">
        <v>10</v>
      </c>
      <c r="E491" s="26" t="s">
        <v>33</v>
      </c>
      <c r="F491" t="s">
        <v>22</v>
      </c>
    </row>
    <row r="492" spans="1:6" x14ac:dyDescent="0.3">
      <c r="A492" s="73">
        <v>44348</v>
      </c>
      <c r="B492" s="11">
        <v>10</v>
      </c>
      <c r="C492" s="11">
        <v>10</v>
      </c>
      <c r="D492" s="11">
        <v>10</v>
      </c>
      <c r="E492" s="26" t="s">
        <v>33</v>
      </c>
      <c r="F492" t="s">
        <v>22</v>
      </c>
    </row>
    <row r="493" spans="1:6" x14ac:dyDescent="0.3">
      <c r="A493" s="73">
        <v>44348</v>
      </c>
      <c r="B493" s="11">
        <v>10</v>
      </c>
      <c r="C493" s="11">
        <v>10</v>
      </c>
      <c r="D493" s="11">
        <v>10</v>
      </c>
      <c r="E493" s="26" t="s">
        <v>33</v>
      </c>
      <c r="F493" t="s">
        <v>22</v>
      </c>
    </row>
    <row r="494" spans="1:6" x14ac:dyDescent="0.3">
      <c r="A494" s="73">
        <v>44354</v>
      </c>
      <c r="B494" s="11">
        <v>10</v>
      </c>
      <c r="C494" s="11">
        <v>10</v>
      </c>
      <c r="D494" s="11">
        <v>10</v>
      </c>
      <c r="E494" s="26" t="s">
        <v>33</v>
      </c>
      <c r="F494" t="s">
        <v>22</v>
      </c>
    </row>
    <row r="495" spans="1:6" x14ac:dyDescent="0.3">
      <c r="A495" s="73">
        <v>44354</v>
      </c>
      <c r="B495" s="11">
        <v>10</v>
      </c>
      <c r="C495" s="11">
        <v>10</v>
      </c>
      <c r="D495" s="11">
        <v>10</v>
      </c>
      <c r="E495" s="26" t="s">
        <v>33</v>
      </c>
      <c r="F495" t="s">
        <v>22</v>
      </c>
    </row>
    <row r="496" spans="1:6" x14ac:dyDescent="0.3">
      <c r="A496" s="73">
        <v>44354</v>
      </c>
      <c r="B496" s="11">
        <v>10</v>
      </c>
      <c r="C496" s="11">
        <v>10</v>
      </c>
      <c r="D496" s="11">
        <v>10</v>
      </c>
      <c r="E496" s="26" t="s">
        <v>33</v>
      </c>
      <c r="F496" t="s">
        <v>22</v>
      </c>
    </row>
    <row r="497" spans="1:6" x14ac:dyDescent="0.3">
      <c r="A497" s="73">
        <v>44354</v>
      </c>
      <c r="B497" s="11">
        <v>10</v>
      </c>
      <c r="C497" s="11">
        <v>10</v>
      </c>
      <c r="D497" s="11">
        <v>10</v>
      </c>
      <c r="E497" s="26" t="s">
        <v>33</v>
      </c>
      <c r="F497" t="s">
        <v>22</v>
      </c>
    </row>
    <row r="498" spans="1:6" x14ac:dyDescent="0.3">
      <c r="A498" s="73">
        <v>44355</v>
      </c>
      <c r="B498" s="11">
        <v>10</v>
      </c>
      <c r="C498" s="11">
        <v>10</v>
      </c>
      <c r="D498" s="11">
        <v>10</v>
      </c>
      <c r="E498" s="26" t="s">
        <v>33</v>
      </c>
      <c r="F498" t="s">
        <v>22</v>
      </c>
    </row>
    <row r="499" spans="1:6" x14ac:dyDescent="0.3">
      <c r="A499" s="73">
        <v>44355</v>
      </c>
      <c r="B499" s="11">
        <v>10</v>
      </c>
      <c r="C499" s="11">
        <v>10</v>
      </c>
      <c r="D499" s="11">
        <v>10</v>
      </c>
      <c r="E499" s="26" t="s">
        <v>33</v>
      </c>
      <c r="F499" t="s">
        <v>22</v>
      </c>
    </row>
    <row r="500" spans="1:6" x14ac:dyDescent="0.3">
      <c r="A500" s="73">
        <v>44355</v>
      </c>
      <c r="B500" s="11">
        <v>10</v>
      </c>
      <c r="C500" s="11">
        <v>10</v>
      </c>
      <c r="D500" s="11">
        <v>10</v>
      </c>
      <c r="E500" s="26" t="s">
        <v>33</v>
      </c>
      <c r="F500" t="s">
        <v>22</v>
      </c>
    </row>
    <row r="501" spans="1:6" x14ac:dyDescent="0.3">
      <c r="A501" s="73">
        <v>44355</v>
      </c>
      <c r="B501" s="11">
        <v>10</v>
      </c>
      <c r="C501" s="11">
        <v>10</v>
      </c>
      <c r="D501" s="11">
        <v>10</v>
      </c>
      <c r="E501" s="26" t="s">
        <v>33</v>
      </c>
      <c r="F501" t="s">
        <v>22</v>
      </c>
    </row>
    <row r="502" spans="1:6" x14ac:dyDescent="0.3">
      <c r="A502" s="73">
        <v>44356</v>
      </c>
      <c r="B502" s="11">
        <v>11</v>
      </c>
      <c r="C502" s="11">
        <v>11</v>
      </c>
      <c r="D502" s="11">
        <v>11</v>
      </c>
      <c r="E502" s="26" t="s">
        <v>33</v>
      </c>
      <c r="F502" t="s">
        <v>22</v>
      </c>
    </row>
    <row r="503" spans="1:6" x14ac:dyDescent="0.3">
      <c r="A503" s="73">
        <v>44356</v>
      </c>
      <c r="B503" s="11">
        <v>7</v>
      </c>
      <c r="C503" s="11">
        <v>7</v>
      </c>
      <c r="D503" s="11">
        <v>7</v>
      </c>
      <c r="E503" s="26" t="s">
        <v>33</v>
      </c>
      <c r="F503" t="s">
        <v>22</v>
      </c>
    </row>
    <row r="504" spans="1:6" x14ac:dyDescent="0.3">
      <c r="A504" s="73">
        <v>44362</v>
      </c>
      <c r="B504" s="11">
        <v>10</v>
      </c>
      <c r="C504" s="11">
        <v>10</v>
      </c>
      <c r="D504" s="11">
        <v>10</v>
      </c>
      <c r="E504" s="26" t="s">
        <v>33</v>
      </c>
      <c r="F504" t="s">
        <v>22</v>
      </c>
    </row>
    <row r="505" spans="1:6" x14ac:dyDescent="0.3">
      <c r="A505" s="73">
        <v>44362</v>
      </c>
      <c r="B505" s="11">
        <v>10</v>
      </c>
      <c r="C505" s="11">
        <v>10</v>
      </c>
      <c r="D505" s="11">
        <v>10</v>
      </c>
      <c r="E505" s="26" t="s">
        <v>33</v>
      </c>
      <c r="F505" t="s">
        <v>22</v>
      </c>
    </row>
    <row r="506" spans="1:6" x14ac:dyDescent="0.3">
      <c r="A506" s="73">
        <v>44362</v>
      </c>
      <c r="B506" s="11">
        <v>10</v>
      </c>
      <c r="C506" s="11">
        <v>10</v>
      </c>
      <c r="D506" s="11">
        <v>10</v>
      </c>
      <c r="E506" s="26" t="s">
        <v>33</v>
      </c>
      <c r="F506" t="s">
        <v>22</v>
      </c>
    </row>
    <row r="507" spans="1:6" x14ac:dyDescent="0.3">
      <c r="A507" s="73">
        <v>44362</v>
      </c>
      <c r="B507" s="11">
        <v>10</v>
      </c>
      <c r="C507" s="11">
        <v>10</v>
      </c>
      <c r="D507" s="11">
        <v>10</v>
      </c>
      <c r="E507" s="26" t="s">
        <v>33</v>
      </c>
      <c r="F507" t="s">
        <v>22</v>
      </c>
    </row>
    <row r="508" spans="1:6" x14ac:dyDescent="0.3">
      <c r="A508" s="73">
        <v>44362</v>
      </c>
      <c r="B508" s="11">
        <v>10</v>
      </c>
      <c r="C508" s="11">
        <v>10</v>
      </c>
      <c r="D508" s="11">
        <v>10</v>
      </c>
      <c r="E508" s="26" t="s">
        <v>33</v>
      </c>
      <c r="F508" t="s">
        <v>22</v>
      </c>
    </row>
    <row r="509" spans="1:6" x14ac:dyDescent="0.3">
      <c r="A509" s="73">
        <v>44362</v>
      </c>
      <c r="B509" s="11">
        <v>10</v>
      </c>
      <c r="C509" s="11">
        <v>10</v>
      </c>
      <c r="D509" s="11">
        <v>10</v>
      </c>
      <c r="E509" s="26" t="s">
        <v>33</v>
      </c>
      <c r="F509" t="s">
        <v>22</v>
      </c>
    </row>
    <row r="510" spans="1:6" x14ac:dyDescent="0.3">
      <c r="A510" s="73">
        <v>44362</v>
      </c>
      <c r="B510" s="11">
        <v>10</v>
      </c>
      <c r="C510" s="11">
        <v>10</v>
      </c>
      <c r="D510" s="11">
        <v>10</v>
      </c>
      <c r="E510" s="26" t="s">
        <v>33</v>
      </c>
      <c r="F510" t="s">
        <v>22</v>
      </c>
    </row>
    <row r="511" spans="1:6" x14ac:dyDescent="0.3">
      <c r="A511" s="73">
        <v>44362</v>
      </c>
      <c r="B511" s="11">
        <v>10</v>
      </c>
      <c r="C511" s="11">
        <v>10</v>
      </c>
      <c r="D511" s="11">
        <v>10</v>
      </c>
      <c r="E511" s="26" t="s">
        <v>33</v>
      </c>
      <c r="F511" t="s">
        <v>22</v>
      </c>
    </row>
    <row r="512" spans="1:6" x14ac:dyDescent="0.3">
      <c r="A512" s="73">
        <v>44375</v>
      </c>
      <c r="B512" s="11">
        <v>10</v>
      </c>
      <c r="C512" s="11">
        <v>10</v>
      </c>
      <c r="D512" s="11">
        <v>10</v>
      </c>
      <c r="E512" s="26" t="s">
        <v>33</v>
      </c>
      <c r="F512" t="s">
        <v>22</v>
      </c>
    </row>
    <row r="513" spans="1:6" x14ac:dyDescent="0.3">
      <c r="A513" s="73">
        <v>44375</v>
      </c>
      <c r="B513" s="11">
        <v>10</v>
      </c>
      <c r="C513" s="11">
        <v>10</v>
      </c>
      <c r="D513" s="11">
        <v>10</v>
      </c>
      <c r="E513" s="26" t="s">
        <v>33</v>
      </c>
      <c r="F513" t="s">
        <v>22</v>
      </c>
    </row>
    <row r="514" spans="1:6" x14ac:dyDescent="0.3">
      <c r="A514" s="73">
        <v>44375</v>
      </c>
      <c r="B514" s="11">
        <v>10</v>
      </c>
      <c r="C514" s="11">
        <v>10</v>
      </c>
      <c r="D514" s="11">
        <v>10</v>
      </c>
      <c r="E514" s="26" t="s">
        <v>33</v>
      </c>
      <c r="F514" t="s">
        <v>22</v>
      </c>
    </row>
    <row r="515" spans="1:6" x14ac:dyDescent="0.3">
      <c r="A515" s="73">
        <v>44375</v>
      </c>
      <c r="B515" s="11">
        <v>10</v>
      </c>
      <c r="C515" s="11">
        <v>10</v>
      </c>
      <c r="D515" s="11">
        <v>10</v>
      </c>
      <c r="E515" s="26" t="s">
        <v>33</v>
      </c>
      <c r="F515" t="s">
        <v>22</v>
      </c>
    </row>
    <row r="516" spans="1:6" x14ac:dyDescent="0.3">
      <c r="A516" s="73">
        <v>44376</v>
      </c>
      <c r="B516" s="11">
        <v>10</v>
      </c>
      <c r="C516" s="11">
        <v>10</v>
      </c>
      <c r="D516" s="11">
        <v>10</v>
      </c>
      <c r="E516" s="26" t="s">
        <v>33</v>
      </c>
      <c r="F516" t="s">
        <v>22</v>
      </c>
    </row>
    <row r="517" spans="1:6" x14ac:dyDescent="0.3">
      <c r="A517" s="73">
        <v>44376</v>
      </c>
      <c r="B517" s="11">
        <v>10</v>
      </c>
      <c r="C517" s="11">
        <v>10</v>
      </c>
      <c r="D517" s="11">
        <v>10</v>
      </c>
      <c r="E517" s="26" t="s">
        <v>33</v>
      </c>
      <c r="F517" t="s">
        <v>22</v>
      </c>
    </row>
    <row r="518" spans="1:6" x14ac:dyDescent="0.3">
      <c r="A518" s="73">
        <v>44376</v>
      </c>
      <c r="B518" s="11">
        <v>10</v>
      </c>
      <c r="C518" s="11">
        <v>10</v>
      </c>
      <c r="D518" s="11">
        <v>10</v>
      </c>
      <c r="E518" s="26" t="s">
        <v>33</v>
      </c>
      <c r="F518" t="s">
        <v>22</v>
      </c>
    </row>
    <row r="519" spans="1:6" x14ac:dyDescent="0.3">
      <c r="A519" s="73">
        <v>44376</v>
      </c>
      <c r="B519" s="11">
        <v>10</v>
      </c>
      <c r="C519" s="11">
        <v>10</v>
      </c>
      <c r="D519" s="11">
        <v>10</v>
      </c>
      <c r="E519" s="26" t="s">
        <v>33</v>
      </c>
      <c r="F519" t="s">
        <v>22</v>
      </c>
    </row>
    <row r="520" spans="1:6" x14ac:dyDescent="0.3">
      <c r="A520" s="73">
        <v>44382</v>
      </c>
      <c r="B520" s="11">
        <v>10</v>
      </c>
      <c r="C520" s="11">
        <v>10</v>
      </c>
      <c r="D520" s="11">
        <v>10</v>
      </c>
      <c r="E520" s="26" t="s">
        <v>33</v>
      </c>
      <c r="F520" t="s">
        <v>22</v>
      </c>
    </row>
    <row r="521" spans="1:6" x14ac:dyDescent="0.3">
      <c r="A521" s="73">
        <v>44382</v>
      </c>
      <c r="B521" s="11">
        <v>10</v>
      </c>
      <c r="C521" s="11">
        <v>10</v>
      </c>
      <c r="D521" s="11">
        <v>10</v>
      </c>
      <c r="E521" s="26" t="s">
        <v>33</v>
      </c>
      <c r="F521" t="s">
        <v>22</v>
      </c>
    </row>
    <row r="522" spans="1:6" x14ac:dyDescent="0.3">
      <c r="A522" s="73">
        <v>44382</v>
      </c>
      <c r="B522" s="11">
        <v>10</v>
      </c>
      <c r="C522" s="11">
        <v>10</v>
      </c>
      <c r="D522" s="11">
        <v>10</v>
      </c>
      <c r="E522" s="26" t="s">
        <v>33</v>
      </c>
      <c r="F522" t="s">
        <v>22</v>
      </c>
    </row>
    <row r="523" spans="1:6" x14ac:dyDescent="0.3">
      <c r="A523" s="73">
        <v>44382</v>
      </c>
      <c r="B523" s="11">
        <v>10</v>
      </c>
      <c r="C523" s="11">
        <v>10</v>
      </c>
      <c r="D523" s="11">
        <v>10</v>
      </c>
      <c r="E523" s="26" t="s">
        <v>33</v>
      </c>
      <c r="F523" t="s">
        <v>22</v>
      </c>
    </row>
    <row r="524" spans="1:6" x14ac:dyDescent="0.3">
      <c r="A524" s="73">
        <v>44383</v>
      </c>
      <c r="B524" s="11">
        <v>12</v>
      </c>
      <c r="C524" s="11">
        <v>12</v>
      </c>
      <c r="D524" s="11">
        <v>12</v>
      </c>
      <c r="E524" s="26" t="s">
        <v>33</v>
      </c>
      <c r="F524" t="s">
        <v>22</v>
      </c>
    </row>
    <row r="525" spans="1:6" x14ac:dyDescent="0.3">
      <c r="A525" s="73">
        <v>44383</v>
      </c>
      <c r="B525" s="11">
        <v>10</v>
      </c>
      <c r="C525" s="11">
        <v>10</v>
      </c>
      <c r="D525" s="11">
        <v>10</v>
      </c>
      <c r="E525" s="26" t="s">
        <v>33</v>
      </c>
      <c r="F525" t="s">
        <v>22</v>
      </c>
    </row>
    <row r="526" spans="1:6" x14ac:dyDescent="0.3">
      <c r="A526" s="73">
        <v>44383</v>
      </c>
      <c r="B526" s="11">
        <v>10</v>
      </c>
      <c r="C526" s="11">
        <v>10</v>
      </c>
      <c r="D526" s="11">
        <v>10</v>
      </c>
      <c r="E526" s="26" t="s">
        <v>33</v>
      </c>
      <c r="F526" t="s">
        <v>22</v>
      </c>
    </row>
    <row r="527" spans="1:6" x14ac:dyDescent="0.3">
      <c r="A527" s="73">
        <v>44383</v>
      </c>
      <c r="B527" s="11">
        <v>10</v>
      </c>
      <c r="C527" s="11">
        <v>10</v>
      </c>
      <c r="D527" s="11">
        <v>10</v>
      </c>
      <c r="E527" s="26" t="s">
        <v>33</v>
      </c>
      <c r="F527" t="s">
        <v>22</v>
      </c>
    </row>
    <row r="528" spans="1:6" x14ac:dyDescent="0.3">
      <c r="A528" s="73">
        <v>44389</v>
      </c>
      <c r="B528" s="11"/>
      <c r="C528" s="11">
        <v>3</v>
      </c>
      <c r="D528" s="11">
        <v>3</v>
      </c>
      <c r="E528" s="26" t="s">
        <v>33</v>
      </c>
      <c r="F528" t="s">
        <v>22</v>
      </c>
    </row>
    <row r="529" spans="1:6" x14ac:dyDescent="0.3">
      <c r="A529" s="73">
        <v>44389</v>
      </c>
      <c r="B529" s="11">
        <v>10</v>
      </c>
      <c r="C529" s="11">
        <v>7</v>
      </c>
      <c r="D529" s="11">
        <v>7</v>
      </c>
      <c r="E529" s="26" t="s">
        <v>33</v>
      </c>
      <c r="F529" t="s">
        <v>22</v>
      </c>
    </row>
    <row r="530" spans="1:6" x14ac:dyDescent="0.3">
      <c r="A530" s="73">
        <v>44389</v>
      </c>
      <c r="B530" s="11">
        <v>10</v>
      </c>
      <c r="C530" s="11">
        <v>10</v>
      </c>
      <c r="D530" s="11">
        <v>10</v>
      </c>
      <c r="E530" s="26" t="s">
        <v>33</v>
      </c>
      <c r="F530" t="s">
        <v>22</v>
      </c>
    </row>
    <row r="531" spans="1:6" x14ac:dyDescent="0.3">
      <c r="A531" s="73">
        <v>44389</v>
      </c>
      <c r="B531" s="11">
        <v>10</v>
      </c>
      <c r="C531" s="11">
        <v>10</v>
      </c>
      <c r="D531" s="11">
        <v>10</v>
      </c>
      <c r="E531" s="26" t="s">
        <v>33</v>
      </c>
      <c r="F531" t="s">
        <v>22</v>
      </c>
    </row>
    <row r="532" spans="1:6" x14ac:dyDescent="0.3">
      <c r="A532" s="73">
        <v>44389</v>
      </c>
      <c r="B532" s="11">
        <v>10</v>
      </c>
      <c r="C532" s="11">
        <v>10</v>
      </c>
      <c r="D532" s="11">
        <v>10</v>
      </c>
      <c r="E532" s="26" t="s">
        <v>33</v>
      </c>
      <c r="F532" t="s">
        <v>22</v>
      </c>
    </row>
    <row r="533" spans="1:6" x14ac:dyDescent="0.3">
      <c r="A533" s="73">
        <v>44389</v>
      </c>
      <c r="B533" s="11">
        <v>10</v>
      </c>
      <c r="C533" s="11">
        <v>10</v>
      </c>
      <c r="D533" s="11">
        <v>10</v>
      </c>
      <c r="E533" s="26" t="s">
        <v>33</v>
      </c>
      <c r="F533" t="s">
        <v>22</v>
      </c>
    </row>
    <row r="534" spans="1:6" x14ac:dyDescent="0.3">
      <c r="A534" s="73">
        <v>44389</v>
      </c>
      <c r="B534" s="11">
        <v>10</v>
      </c>
      <c r="C534" s="11">
        <v>10</v>
      </c>
      <c r="D534" s="11">
        <v>10</v>
      </c>
      <c r="E534" s="26" t="s">
        <v>33</v>
      </c>
      <c r="F534" t="s">
        <v>22</v>
      </c>
    </row>
    <row r="535" spans="1:6" x14ac:dyDescent="0.3">
      <c r="A535" s="73">
        <v>44389</v>
      </c>
      <c r="B535" s="11">
        <v>12</v>
      </c>
      <c r="C535" s="11">
        <v>12</v>
      </c>
      <c r="D535" s="11">
        <v>12</v>
      </c>
      <c r="E535" s="26" t="s">
        <v>33</v>
      </c>
      <c r="F535" t="s">
        <v>22</v>
      </c>
    </row>
    <row r="536" spans="1:6" x14ac:dyDescent="0.3">
      <c r="A536" s="73">
        <v>44389</v>
      </c>
      <c r="B536" s="11">
        <v>10</v>
      </c>
      <c r="C536" s="11">
        <v>10</v>
      </c>
      <c r="D536" s="11">
        <v>10</v>
      </c>
      <c r="E536" s="26" t="s">
        <v>33</v>
      </c>
      <c r="F536" t="s">
        <v>22</v>
      </c>
    </row>
    <row r="537" spans="1:6" x14ac:dyDescent="0.3">
      <c r="A537" s="73">
        <v>44396</v>
      </c>
      <c r="B537" s="11">
        <v>10</v>
      </c>
      <c r="C537" s="11">
        <v>10</v>
      </c>
      <c r="D537" s="11">
        <v>10</v>
      </c>
      <c r="E537" s="26" t="s">
        <v>33</v>
      </c>
      <c r="F537" t="s">
        <v>22</v>
      </c>
    </row>
    <row r="538" spans="1:6" x14ac:dyDescent="0.3">
      <c r="A538" s="73">
        <v>44396</v>
      </c>
      <c r="B538" s="11">
        <v>10</v>
      </c>
      <c r="C538" s="11">
        <v>10</v>
      </c>
      <c r="D538" s="11">
        <v>10</v>
      </c>
      <c r="E538" s="26" t="s">
        <v>33</v>
      </c>
      <c r="F538" t="s">
        <v>22</v>
      </c>
    </row>
    <row r="539" spans="1:6" x14ac:dyDescent="0.3">
      <c r="A539" s="73">
        <v>44396</v>
      </c>
      <c r="B539" s="11">
        <v>10</v>
      </c>
      <c r="C539" s="11">
        <v>10</v>
      </c>
      <c r="D539" s="11">
        <v>10</v>
      </c>
      <c r="E539" s="26" t="s">
        <v>33</v>
      </c>
      <c r="F539" t="s">
        <v>22</v>
      </c>
    </row>
    <row r="540" spans="1:6" x14ac:dyDescent="0.3">
      <c r="A540" s="73">
        <v>44396</v>
      </c>
      <c r="B540" s="11">
        <v>10</v>
      </c>
      <c r="C540" s="11">
        <v>10</v>
      </c>
      <c r="D540" s="11">
        <v>10</v>
      </c>
      <c r="E540" s="26" t="s">
        <v>33</v>
      </c>
      <c r="F540" t="s">
        <v>22</v>
      </c>
    </row>
    <row r="541" spans="1:6" x14ac:dyDescent="0.3">
      <c r="A541" s="73">
        <v>44396</v>
      </c>
      <c r="B541" s="11">
        <v>10</v>
      </c>
      <c r="C541" s="11">
        <v>10</v>
      </c>
      <c r="D541" s="11">
        <v>10</v>
      </c>
      <c r="E541" s="26" t="s">
        <v>33</v>
      </c>
      <c r="F541" t="s">
        <v>22</v>
      </c>
    </row>
    <row r="542" spans="1:6" x14ac:dyDescent="0.3">
      <c r="A542" s="73">
        <v>44396</v>
      </c>
      <c r="B542" s="11">
        <v>10</v>
      </c>
      <c r="C542" s="11">
        <v>10</v>
      </c>
      <c r="D542" s="11">
        <v>10</v>
      </c>
      <c r="E542" s="26" t="s">
        <v>33</v>
      </c>
      <c r="F542" t="s">
        <v>22</v>
      </c>
    </row>
    <row r="543" spans="1:6" x14ac:dyDescent="0.3">
      <c r="A543" s="73">
        <v>44396</v>
      </c>
      <c r="B543" s="11">
        <v>10</v>
      </c>
      <c r="C543" s="11">
        <v>10</v>
      </c>
      <c r="D543" s="11">
        <v>10</v>
      </c>
      <c r="E543" s="26" t="s">
        <v>33</v>
      </c>
      <c r="F543" t="s">
        <v>22</v>
      </c>
    </row>
    <row r="544" spans="1:6" x14ac:dyDescent="0.3">
      <c r="A544" s="73">
        <v>44396</v>
      </c>
      <c r="B544" s="11">
        <v>10</v>
      </c>
      <c r="C544" s="11">
        <v>10</v>
      </c>
      <c r="D544" s="11">
        <v>10</v>
      </c>
      <c r="E544" s="26" t="s">
        <v>33</v>
      </c>
      <c r="F544" t="s">
        <v>22</v>
      </c>
    </row>
    <row r="545" spans="1:6" x14ac:dyDescent="0.3">
      <c r="A545" s="73">
        <v>44403</v>
      </c>
      <c r="B545" s="11">
        <v>10</v>
      </c>
      <c r="C545" s="11">
        <v>10</v>
      </c>
      <c r="D545" s="11">
        <v>10</v>
      </c>
      <c r="E545" s="26" t="s">
        <v>33</v>
      </c>
      <c r="F545" t="s">
        <v>22</v>
      </c>
    </row>
    <row r="546" spans="1:6" x14ac:dyDescent="0.3">
      <c r="A546" s="73">
        <v>44403</v>
      </c>
      <c r="B546" s="11">
        <v>10</v>
      </c>
      <c r="C546" s="11">
        <v>10</v>
      </c>
      <c r="D546" s="11">
        <v>10</v>
      </c>
      <c r="E546" s="26" t="s">
        <v>33</v>
      </c>
      <c r="F546" t="s">
        <v>22</v>
      </c>
    </row>
    <row r="547" spans="1:6" x14ac:dyDescent="0.3">
      <c r="A547" s="73">
        <v>44403</v>
      </c>
      <c r="B547" s="11">
        <v>10</v>
      </c>
      <c r="C547" s="11">
        <v>10</v>
      </c>
      <c r="D547" s="11">
        <v>10</v>
      </c>
      <c r="E547" s="26" t="s">
        <v>33</v>
      </c>
      <c r="F547" t="s">
        <v>22</v>
      </c>
    </row>
    <row r="548" spans="1:6" x14ac:dyDescent="0.3">
      <c r="A548" s="73">
        <v>44403</v>
      </c>
      <c r="B548" s="11">
        <v>10</v>
      </c>
      <c r="C548" s="11">
        <v>10</v>
      </c>
      <c r="D548" s="11">
        <v>10</v>
      </c>
      <c r="E548" s="26" t="s">
        <v>33</v>
      </c>
      <c r="F548" t="s">
        <v>22</v>
      </c>
    </row>
    <row r="549" spans="1:6" x14ac:dyDescent="0.3">
      <c r="A549" s="73">
        <v>44404</v>
      </c>
      <c r="B549" s="11">
        <v>10</v>
      </c>
      <c r="C549" s="11">
        <v>10</v>
      </c>
      <c r="D549" s="11">
        <v>10</v>
      </c>
      <c r="E549" s="26" t="s">
        <v>33</v>
      </c>
      <c r="F549" t="s">
        <v>22</v>
      </c>
    </row>
    <row r="550" spans="1:6" x14ac:dyDescent="0.3">
      <c r="A550" s="73">
        <v>44404</v>
      </c>
      <c r="B550" s="11">
        <v>10</v>
      </c>
      <c r="C550" s="11">
        <v>10</v>
      </c>
      <c r="D550" s="11">
        <v>10</v>
      </c>
      <c r="E550" s="26" t="s">
        <v>33</v>
      </c>
      <c r="F550" t="s">
        <v>22</v>
      </c>
    </row>
    <row r="551" spans="1:6" x14ac:dyDescent="0.3">
      <c r="A551" s="73">
        <v>44404</v>
      </c>
      <c r="B551" s="11">
        <v>10</v>
      </c>
      <c r="C551" s="11">
        <v>10</v>
      </c>
      <c r="D551" s="11">
        <v>10</v>
      </c>
      <c r="E551" s="26" t="s">
        <v>33</v>
      </c>
      <c r="F551" t="s">
        <v>22</v>
      </c>
    </row>
    <row r="552" spans="1:6" x14ac:dyDescent="0.3">
      <c r="A552" s="73">
        <v>44404</v>
      </c>
      <c r="B552" s="11">
        <v>10</v>
      </c>
      <c r="C552" s="11">
        <v>10</v>
      </c>
      <c r="D552" s="11">
        <v>10</v>
      </c>
      <c r="E552" s="26" t="s">
        <v>33</v>
      </c>
      <c r="F552" t="s">
        <v>22</v>
      </c>
    </row>
    <row r="553" spans="1:6" x14ac:dyDescent="0.3">
      <c r="A553" s="73">
        <v>44410</v>
      </c>
      <c r="B553" s="11">
        <v>10</v>
      </c>
      <c r="C553" s="11">
        <v>10</v>
      </c>
      <c r="D553" s="11">
        <v>10</v>
      </c>
      <c r="E553" s="26" t="s">
        <v>33</v>
      </c>
      <c r="F553" t="s">
        <v>22</v>
      </c>
    </row>
    <row r="554" spans="1:6" x14ac:dyDescent="0.3">
      <c r="A554" s="73">
        <v>44410</v>
      </c>
      <c r="B554" s="11">
        <v>10</v>
      </c>
      <c r="C554" s="11">
        <v>10</v>
      </c>
      <c r="D554" s="11">
        <v>10</v>
      </c>
      <c r="E554" s="26" t="s">
        <v>33</v>
      </c>
      <c r="F554" t="s">
        <v>22</v>
      </c>
    </row>
    <row r="555" spans="1:6" x14ac:dyDescent="0.3">
      <c r="A555" s="73">
        <v>44410</v>
      </c>
      <c r="B555" s="11">
        <v>10</v>
      </c>
      <c r="C555" s="11">
        <v>10</v>
      </c>
      <c r="D555" s="11">
        <v>10</v>
      </c>
      <c r="E555" s="26" t="s">
        <v>33</v>
      </c>
      <c r="F555" t="s">
        <v>22</v>
      </c>
    </row>
    <row r="556" spans="1:6" x14ac:dyDescent="0.3">
      <c r="A556" s="73">
        <v>44410</v>
      </c>
      <c r="B556" s="11">
        <v>10</v>
      </c>
      <c r="C556" s="11">
        <v>10</v>
      </c>
      <c r="D556" s="11">
        <v>10</v>
      </c>
      <c r="E556" s="26" t="s">
        <v>33</v>
      </c>
      <c r="F556" t="s">
        <v>22</v>
      </c>
    </row>
    <row r="557" spans="1:6" x14ac:dyDescent="0.3">
      <c r="A557" s="73">
        <v>44411</v>
      </c>
      <c r="B557" s="11">
        <v>10</v>
      </c>
      <c r="C557" s="11">
        <v>10</v>
      </c>
      <c r="D557" s="11">
        <v>10</v>
      </c>
      <c r="E557" s="26" t="s">
        <v>33</v>
      </c>
      <c r="F557" t="s">
        <v>22</v>
      </c>
    </row>
    <row r="558" spans="1:6" x14ac:dyDescent="0.3">
      <c r="A558" s="73">
        <v>44411</v>
      </c>
      <c r="B558" s="11">
        <v>10</v>
      </c>
      <c r="C558" s="11">
        <v>10</v>
      </c>
      <c r="D558" s="11">
        <v>10</v>
      </c>
      <c r="E558" s="26" t="s">
        <v>33</v>
      </c>
      <c r="F558" t="s">
        <v>22</v>
      </c>
    </row>
    <row r="559" spans="1:6" x14ac:dyDescent="0.3">
      <c r="A559" s="73">
        <v>44411</v>
      </c>
      <c r="B559" s="11">
        <v>10</v>
      </c>
      <c r="C559" s="11">
        <v>10</v>
      </c>
      <c r="D559" s="11">
        <v>10</v>
      </c>
      <c r="E559" s="26" t="s">
        <v>33</v>
      </c>
      <c r="F559" t="s">
        <v>22</v>
      </c>
    </row>
    <row r="560" spans="1:6" x14ac:dyDescent="0.3">
      <c r="A560" s="73">
        <v>44411</v>
      </c>
      <c r="B560" s="11">
        <v>10</v>
      </c>
      <c r="C560" s="11">
        <v>10</v>
      </c>
      <c r="D560" s="11">
        <v>10</v>
      </c>
      <c r="E560" s="26" t="s">
        <v>33</v>
      </c>
      <c r="F560" t="s">
        <v>22</v>
      </c>
    </row>
    <row r="561" spans="1:6" x14ac:dyDescent="0.3">
      <c r="A561" s="73">
        <v>44509</v>
      </c>
      <c r="B561" s="11">
        <v>10</v>
      </c>
      <c r="C561" s="11">
        <v>10</v>
      </c>
      <c r="D561" s="11">
        <v>10</v>
      </c>
      <c r="E561" s="26" t="s">
        <v>33</v>
      </c>
      <c r="F561" t="s">
        <v>22</v>
      </c>
    </row>
    <row r="562" spans="1:6" x14ac:dyDescent="0.3">
      <c r="A562" s="73">
        <v>44509</v>
      </c>
      <c r="B562" s="11">
        <v>10</v>
      </c>
      <c r="C562" s="11">
        <v>10</v>
      </c>
      <c r="D562" s="11">
        <v>10</v>
      </c>
      <c r="E562" s="26" t="s">
        <v>33</v>
      </c>
      <c r="F562" t="s">
        <v>22</v>
      </c>
    </row>
    <row r="563" spans="1:6" x14ac:dyDescent="0.3">
      <c r="A563" s="73">
        <v>44509</v>
      </c>
      <c r="B563" s="11">
        <v>10</v>
      </c>
      <c r="C563" s="11">
        <v>10</v>
      </c>
      <c r="D563" s="11">
        <v>10</v>
      </c>
      <c r="E563" s="26" t="s">
        <v>33</v>
      </c>
      <c r="F563" t="s">
        <v>22</v>
      </c>
    </row>
    <row r="564" spans="1:6" x14ac:dyDescent="0.3">
      <c r="A564" s="73">
        <v>44509</v>
      </c>
      <c r="B564" s="11">
        <v>10</v>
      </c>
      <c r="C564" s="11">
        <v>10</v>
      </c>
      <c r="D564" s="11">
        <v>10</v>
      </c>
      <c r="E564" s="26" t="s">
        <v>33</v>
      </c>
      <c r="F564" t="s">
        <v>22</v>
      </c>
    </row>
    <row r="565" spans="1:6" x14ac:dyDescent="0.3">
      <c r="A565" s="73">
        <v>44515</v>
      </c>
      <c r="B565" s="11">
        <v>10</v>
      </c>
      <c r="C565" s="11">
        <v>10</v>
      </c>
      <c r="D565" s="11">
        <v>10</v>
      </c>
      <c r="E565" s="26" t="s">
        <v>33</v>
      </c>
      <c r="F565" t="s">
        <v>22</v>
      </c>
    </row>
    <row r="566" spans="1:6" x14ac:dyDescent="0.3">
      <c r="A566" s="73">
        <v>44515</v>
      </c>
      <c r="B566" s="11">
        <v>10</v>
      </c>
      <c r="C566" s="11">
        <v>10</v>
      </c>
      <c r="D566" s="11">
        <v>10</v>
      </c>
      <c r="E566" s="26" t="s">
        <v>33</v>
      </c>
      <c r="F566" t="s">
        <v>22</v>
      </c>
    </row>
    <row r="567" spans="1:6" x14ac:dyDescent="0.3">
      <c r="A567" s="73">
        <v>44515</v>
      </c>
      <c r="B567" s="11">
        <v>10</v>
      </c>
      <c r="C567" s="11">
        <v>10</v>
      </c>
      <c r="D567" s="11">
        <v>10</v>
      </c>
      <c r="E567" s="26" t="s">
        <v>33</v>
      </c>
      <c r="F567" t="s">
        <v>22</v>
      </c>
    </row>
    <row r="568" spans="1:6" x14ac:dyDescent="0.3">
      <c r="A568" s="73">
        <v>44515</v>
      </c>
      <c r="B568" s="11">
        <v>10</v>
      </c>
      <c r="C568" s="11">
        <v>10</v>
      </c>
      <c r="D568" s="11">
        <v>10</v>
      </c>
      <c r="E568" s="26" t="s">
        <v>33</v>
      </c>
      <c r="F568" t="s">
        <v>22</v>
      </c>
    </row>
    <row r="569" spans="1:6" x14ac:dyDescent="0.3">
      <c r="A569" s="73">
        <v>44572</v>
      </c>
      <c r="B569" s="11">
        <v>10</v>
      </c>
      <c r="C569" s="11">
        <v>10</v>
      </c>
      <c r="D569" s="11">
        <v>10</v>
      </c>
      <c r="E569" s="26" t="s">
        <v>33</v>
      </c>
      <c r="F569" t="s">
        <v>22</v>
      </c>
    </row>
    <row r="570" spans="1:6" x14ac:dyDescent="0.3">
      <c r="A570" s="73">
        <v>44572</v>
      </c>
      <c r="B570" s="11">
        <v>10</v>
      </c>
      <c r="C570" s="11">
        <v>10</v>
      </c>
      <c r="D570" s="11">
        <v>10</v>
      </c>
      <c r="E570" s="26" t="s">
        <v>33</v>
      </c>
      <c r="F570" t="s">
        <v>22</v>
      </c>
    </row>
    <row r="571" spans="1:6" x14ac:dyDescent="0.3">
      <c r="A571" s="73">
        <v>44572</v>
      </c>
      <c r="B571" s="11">
        <v>10</v>
      </c>
      <c r="C571" s="11">
        <v>10</v>
      </c>
      <c r="D571" s="11">
        <v>10</v>
      </c>
      <c r="E571" s="26" t="s">
        <v>33</v>
      </c>
      <c r="F571" t="s">
        <v>22</v>
      </c>
    </row>
    <row r="572" spans="1:6" x14ac:dyDescent="0.3">
      <c r="A572" s="73">
        <v>44572</v>
      </c>
      <c r="B572" s="11">
        <v>10</v>
      </c>
      <c r="C572" s="11">
        <v>10</v>
      </c>
      <c r="D572" s="11">
        <v>10</v>
      </c>
      <c r="E572" s="26" t="s">
        <v>33</v>
      </c>
      <c r="F572" t="s">
        <v>22</v>
      </c>
    </row>
    <row r="573" spans="1:6" x14ac:dyDescent="0.3">
      <c r="A573" s="73">
        <v>44586</v>
      </c>
      <c r="B573" s="11">
        <v>10</v>
      </c>
      <c r="C573" s="11">
        <v>10</v>
      </c>
      <c r="D573" s="11">
        <v>10</v>
      </c>
      <c r="E573" s="26" t="s">
        <v>33</v>
      </c>
      <c r="F573" t="s">
        <v>22</v>
      </c>
    </row>
    <row r="574" spans="1:6" x14ac:dyDescent="0.3">
      <c r="A574" s="73">
        <v>44586</v>
      </c>
      <c r="B574" s="11">
        <v>10</v>
      </c>
      <c r="C574" s="11">
        <v>10</v>
      </c>
      <c r="D574" s="11">
        <v>10</v>
      </c>
      <c r="E574" s="26" t="s">
        <v>33</v>
      </c>
      <c r="F574" t="s">
        <v>22</v>
      </c>
    </row>
    <row r="575" spans="1:6" x14ac:dyDescent="0.3">
      <c r="A575" s="73">
        <v>44586</v>
      </c>
      <c r="B575" s="11">
        <v>10</v>
      </c>
      <c r="C575" s="11">
        <v>10</v>
      </c>
      <c r="D575" s="11">
        <v>10</v>
      </c>
      <c r="E575" s="26" t="s">
        <v>33</v>
      </c>
      <c r="F575" t="s">
        <v>22</v>
      </c>
    </row>
    <row r="576" spans="1:6" x14ac:dyDescent="0.3">
      <c r="A576" s="73">
        <v>44586</v>
      </c>
      <c r="B576" s="11">
        <v>10</v>
      </c>
      <c r="C576" s="11">
        <v>10</v>
      </c>
      <c r="D576" s="11">
        <v>10</v>
      </c>
      <c r="E576" s="26" t="s">
        <v>33</v>
      </c>
      <c r="F576" t="s">
        <v>22</v>
      </c>
    </row>
    <row r="577" spans="1:6" x14ac:dyDescent="0.3">
      <c r="A577" s="73">
        <v>44600</v>
      </c>
      <c r="B577" s="11">
        <v>10</v>
      </c>
      <c r="C577" s="11">
        <v>10</v>
      </c>
      <c r="D577" s="11">
        <v>10</v>
      </c>
      <c r="E577" s="26" t="s">
        <v>33</v>
      </c>
      <c r="F577" t="s">
        <v>22</v>
      </c>
    </row>
    <row r="578" spans="1:6" x14ac:dyDescent="0.3">
      <c r="A578" s="73">
        <v>44600</v>
      </c>
      <c r="B578" s="11">
        <v>10</v>
      </c>
      <c r="C578" s="11">
        <v>10</v>
      </c>
      <c r="D578" s="11">
        <v>10</v>
      </c>
      <c r="E578" s="26" t="s">
        <v>33</v>
      </c>
      <c r="F578" t="s">
        <v>22</v>
      </c>
    </row>
    <row r="579" spans="1:6" x14ac:dyDescent="0.3">
      <c r="A579" s="73">
        <v>44600</v>
      </c>
      <c r="B579" s="11">
        <v>10</v>
      </c>
      <c r="C579" s="11">
        <v>10</v>
      </c>
      <c r="D579" s="11">
        <v>10</v>
      </c>
      <c r="E579" s="26" t="s">
        <v>33</v>
      </c>
      <c r="F579" t="s">
        <v>22</v>
      </c>
    </row>
    <row r="580" spans="1:6" x14ac:dyDescent="0.3">
      <c r="A580" s="73">
        <v>44600</v>
      </c>
      <c r="B580" s="11">
        <v>10</v>
      </c>
      <c r="C580" s="11">
        <v>10</v>
      </c>
      <c r="D580" s="11">
        <v>10</v>
      </c>
      <c r="E580" s="26" t="s">
        <v>33</v>
      </c>
      <c r="F580" t="s">
        <v>22</v>
      </c>
    </row>
    <row r="581" spans="1:6" x14ac:dyDescent="0.3">
      <c r="A581" s="73">
        <v>44606</v>
      </c>
      <c r="B581" s="11">
        <v>10</v>
      </c>
      <c r="C581" s="11">
        <v>10</v>
      </c>
      <c r="D581" s="11">
        <v>10</v>
      </c>
      <c r="E581" s="26" t="s">
        <v>33</v>
      </c>
      <c r="F581" t="s">
        <v>22</v>
      </c>
    </row>
    <row r="582" spans="1:6" x14ac:dyDescent="0.3">
      <c r="A582" s="73">
        <v>44606</v>
      </c>
      <c r="B582" s="11">
        <v>10</v>
      </c>
      <c r="C582" s="11">
        <v>10</v>
      </c>
      <c r="D582" s="11">
        <v>10</v>
      </c>
      <c r="E582" s="26" t="s">
        <v>33</v>
      </c>
      <c r="F582" t="s">
        <v>22</v>
      </c>
    </row>
    <row r="583" spans="1:6" x14ac:dyDescent="0.3">
      <c r="A583" s="73">
        <v>44606</v>
      </c>
      <c r="B583" s="11">
        <v>10</v>
      </c>
      <c r="C583" s="11">
        <v>10</v>
      </c>
      <c r="D583" s="11">
        <v>10</v>
      </c>
      <c r="E583" s="26" t="s">
        <v>33</v>
      </c>
      <c r="F583" t="s">
        <v>22</v>
      </c>
    </row>
    <row r="584" spans="1:6" x14ac:dyDescent="0.3">
      <c r="A584" s="73">
        <v>44606</v>
      </c>
      <c r="B584" s="11">
        <v>10</v>
      </c>
      <c r="C584" s="11">
        <v>10</v>
      </c>
      <c r="D584" s="11">
        <v>10</v>
      </c>
      <c r="E584" s="26" t="s">
        <v>33</v>
      </c>
      <c r="F584" t="s">
        <v>22</v>
      </c>
    </row>
    <row r="585" spans="1:6" x14ac:dyDescent="0.3">
      <c r="A585" s="73">
        <v>44607</v>
      </c>
      <c r="B585" s="11">
        <v>10</v>
      </c>
      <c r="C585" s="11">
        <v>10</v>
      </c>
      <c r="D585" s="11">
        <v>10</v>
      </c>
      <c r="E585" s="26" t="s">
        <v>33</v>
      </c>
      <c r="F585" t="s">
        <v>22</v>
      </c>
    </row>
    <row r="586" spans="1:6" x14ac:dyDescent="0.3">
      <c r="A586" s="73">
        <v>44607</v>
      </c>
      <c r="B586" s="11">
        <v>10</v>
      </c>
      <c r="C586" s="11">
        <v>10</v>
      </c>
      <c r="D586" s="11">
        <v>10</v>
      </c>
      <c r="E586" s="26" t="s">
        <v>33</v>
      </c>
      <c r="F586" t="s">
        <v>22</v>
      </c>
    </row>
    <row r="587" spans="1:6" x14ac:dyDescent="0.3">
      <c r="A587" s="73">
        <v>44607</v>
      </c>
      <c r="B587" s="11">
        <v>10</v>
      </c>
      <c r="C587" s="11">
        <v>10</v>
      </c>
      <c r="D587" s="11">
        <v>10</v>
      </c>
      <c r="E587" s="26" t="s">
        <v>33</v>
      </c>
      <c r="F587" t="s">
        <v>22</v>
      </c>
    </row>
    <row r="588" spans="1:6" x14ac:dyDescent="0.3">
      <c r="A588" s="73">
        <v>44607</v>
      </c>
      <c r="B588" s="11">
        <v>10</v>
      </c>
      <c r="C588" s="11">
        <v>10</v>
      </c>
      <c r="D588" s="11">
        <v>10</v>
      </c>
      <c r="E588" s="26" t="s">
        <v>33</v>
      </c>
      <c r="F588" t="s">
        <v>22</v>
      </c>
    </row>
    <row r="589" spans="1:6" x14ac:dyDescent="0.3">
      <c r="A589" s="73">
        <v>44613</v>
      </c>
      <c r="B589" s="11">
        <v>10</v>
      </c>
      <c r="C589" s="11">
        <v>10</v>
      </c>
      <c r="D589" s="11">
        <v>10</v>
      </c>
      <c r="E589" s="26" t="s">
        <v>33</v>
      </c>
      <c r="F589" t="s">
        <v>22</v>
      </c>
    </row>
    <row r="590" spans="1:6" x14ac:dyDescent="0.3">
      <c r="A590" s="73">
        <v>44613</v>
      </c>
      <c r="B590" s="11">
        <v>10</v>
      </c>
      <c r="C590" s="11">
        <v>10</v>
      </c>
      <c r="D590" s="11">
        <v>10</v>
      </c>
      <c r="E590" s="26" t="s">
        <v>33</v>
      </c>
      <c r="F590" t="s">
        <v>22</v>
      </c>
    </row>
    <row r="591" spans="1:6" x14ac:dyDescent="0.3">
      <c r="A591" s="73">
        <v>44613</v>
      </c>
      <c r="B591" s="11">
        <v>10</v>
      </c>
      <c r="C591" s="11">
        <v>10</v>
      </c>
      <c r="D591" s="11">
        <v>10</v>
      </c>
      <c r="E591" s="26" t="s">
        <v>33</v>
      </c>
      <c r="F591" t="s">
        <v>22</v>
      </c>
    </row>
    <row r="592" spans="1:6" x14ac:dyDescent="0.3">
      <c r="A592" s="73">
        <v>44613</v>
      </c>
      <c r="B592" s="11">
        <v>10</v>
      </c>
      <c r="C592" s="11">
        <v>10</v>
      </c>
      <c r="D592" s="11">
        <v>10</v>
      </c>
      <c r="E592" s="26" t="s">
        <v>33</v>
      </c>
      <c r="F592" t="s">
        <v>22</v>
      </c>
    </row>
    <row r="593" spans="1:6" x14ac:dyDescent="0.3">
      <c r="A593" s="73">
        <v>44614</v>
      </c>
      <c r="B593" s="11">
        <v>10</v>
      </c>
      <c r="C593" s="11">
        <v>10</v>
      </c>
      <c r="D593" s="11">
        <v>10</v>
      </c>
      <c r="E593" s="26" t="s">
        <v>33</v>
      </c>
      <c r="F593" t="s">
        <v>22</v>
      </c>
    </row>
    <row r="594" spans="1:6" x14ac:dyDescent="0.3">
      <c r="A594" s="73">
        <v>44614</v>
      </c>
      <c r="B594" s="11">
        <v>10</v>
      </c>
      <c r="C594" s="11">
        <v>10</v>
      </c>
      <c r="D594" s="11">
        <v>10</v>
      </c>
      <c r="E594" s="26" t="s">
        <v>33</v>
      </c>
      <c r="F594" t="s">
        <v>22</v>
      </c>
    </row>
    <row r="595" spans="1:6" x14ac:dyDescent="0.3">
      <c r="A595" s="73">
        <v>44614</v>
      </c>
      <c r="B595" s="11">
        <v>10</v>
      </c>
      <c r="C595" s="11">
        <v>10</v>
      </c>
      <c r="D595" s="11">
        <v>10</v>
      </c>
      <c r="E595" s="26" t="s">
        <v>33</v>
      </c>
      <c r="F595" t="s">
        <v>22</v>
      </c>
    </row>
    <row r="596" spans="1:6" x14ac:dyDescent="0.3">
      <c r="A596" s="73">
        <v>44614</v>
      </c>
      <c r="B596" s="11">
        <v>10</v>
      </c>
      <c r="C596" s="11">
        <v>10</v>
      </c>
      <c r="D596" s="11">
        <v>10</v>
      </c>
      <c r="E596" s="26" t="s">
        <v>33</v>
      </c>
      <c r="F596" t="s">
        <v>22</v>
      </c>
    </row>
    <row r="597" spans="1:6" x14ac:dyDescent="0.3">
      <c r="A597" s="73">
        <v>44620</v>
      </c>
      <c r="B597" s="11">
        <v>10</v>
      </c>
      <c r="C597" s="11">
        <v>10</v>
      </c>
      <c r="D597" s="11">
        <v>10</v>
      </c>
      <c r="E597" s="26" t="s">
        <v>33</v>
      </c>
      <c r="F597" t="s">
        <v>22</v>
      </c>
    </row>
    <row r="598" spans="1:6" x14ac:dyDescent="0.3">
      <c r="A598" s="73">
        <v>44620</v>
      </c>
      <c r="B598" s="11">
        <v>10</v>
      </c>
      <c r="C598" s="11">
        <v>10</v>
      </c>
      <c r="D598" s="11">
        <v>10</v>
      </c>
      <c r="E598" s="26" t="s">
        <v>33</v>
      </c>
      <c r="F598" t="s">
        <v>22</v>
      </c>
    </row>
    <row r="599" spans="1:6" x14ac:dyDescent="0.3">
      <c r="A599" s="73">
        <v>44620</v>
      </c>
      <c r="B599" s="11">
        <v>10</v>
      </c>
      <c r="C599" s="11">
        <v>10</v>
      </c>
      <c r="D599" s="11">
        <v>10</v>
      </c>
      <c r="E599" s="26" t="s">
        <v>33</v>
      </c>
      <c r="F599" t="s">
        <v>22</v>
      </c>
    </row>
    <row r="600" spans="1:6" x14ac:dyDescent="0.3">
      <c r="A600" s="73">
        <v>44620</v>
      </c>
      <c r="B600" s="11">
        <v>10</v>
      </c>
      <c r="C600" s="11">
        <v>10</v>
      </c>
      <c r="D600" s="11">
        <v>10</v>
      </c>
      <c r="E600" s="26" t="s">
        <v>33</v>
      </c>
      <c r="F600" t="s">
        <v>22</v>
      </c>
    </row>
    <row r="601" spans="1:6" x14ac:dyDescent="0.3">
      <c r="A601" s="73">
        <v>44621</v>
      </c>
      <c r="B601" s="11">
        <v>10</v>
      </c>
      <c r="C601" s="11">
        <v>10</v>
      </c>
      <c r="D601" s="11">
        <v>10</v>
      </c>
      <c r="E601" s="26" t="s">
        <v>33</v>
      </c>
      <c r="F601" t="s">
        <v>22</v>
      </c>
    </row>
    <row r="602" spans="1:6" x14ac:dyDescent="0.3">
      <c r="A602" s="73">
        <v>44621</v>
      </c>
      <c r="B602" s="11">
        <v>10</v>
      </c>
      <c r="C602" s="11">
        <v>10</v>
      </c>
      <c r="D602" s="11">
        <v>10</v>
      </c>
      <c r="E602" s="26" t="s">
        <v>33</v>
      </c>
      <c r="F602" t="s">
        <v>22</v>
      </c>
    </row>
    <row r="603" spans="1:6" x14ac:dyDescent="0.3">
      <c r="A603" s="73">
        <v>44621</v>
      </c>
      <c r="B603" s="11">
        <v>10</v>
      </c>
      <c r="C603" s="11">
        <v>10</v>
      </c>
      <c r="D603" s="11">
        <v>10</v>
      </c>
      <c r="E603" s="26" t="s">
        <v>33</v>
      </c>
      <c r="F603" t="s">
        <v>22</v>
      </c>
    </row>
    <row r="604" spans="1:6" x14ac:dyDescent="0.3">
      <c r="A604" s="73">
        <v>44621</v>
      </c>
      <c r="B604" s="11">
        <v>10</v>
      </c>
      <c r="C604" s="11">
        <v>10</v>
      </c>
      <c r="D604" s="11">
        <v>10</v>
      </c>
      <c r="E604" s="26" t="s">
        <v>33</v>
      </c>
      <c r="F604" t="s">
        <v>22</v>
      </c>
    </row>
    <row r="605" spans="1:6" x14ac:dyDescent="0.3">
      <c r="A605" s="73">
        <v>44627</v>
      </c>
      <c r="B605" s="11">
        <v>10</v>
      </c>
      <c r="C605" s="11">
        <v>10</v>
      </c>
      <c r="D605" s="11">
        <v>10</v>
      </c>
      <c r="E605" s="26" t="s">
        <v>33</v>
      </c>
      <c r="F605" t="s">
        <v>22</v>
      </c>
    </row>
    <row r="606" spans="1:6" x14ac:dyDescent="0.3">
      <c r="A606" s="73">
        <v>44627</v>
      </c>
      <c r="B606" s="11">
        <v>10</v>
      </c>
      <c r="C606" s="11">
        <v>10</v>
      </c>
      <c r="D606" s="11">
        <v>10</v>
      </c>
      <c r="E606" s="26" t="s">
        <v>33</v>
      </c>
      <c r="F606" t="s">
        <v>22</v>
      </c>
    </row>
    <row r="607" spans="1:6" x14ac:dyDescent="0.3">
      <c r="A607" s="73">
        <v>44627</v>
      </c>
      <c r="B607" s="11">
        <v>10</v>
      </c>
      <c r="C607" s="11">
        <v>10</v>
      </c>
      <c r="D607" s="11">
        <v>10</v>
      </c>
      <c r="E607" s="26" t="s">
        <v>33</v>
      </c>
      <c r="F607" t="s">
        <v>22</v>
      </c>
    </row>
    <row r="608" spans="1:6" x14ac:dyDescent="0.3">
      <c r="A608" s="73">
        <v>44627</v>
      </c>
      <c r="B608" s="11">
        <v>10</v>
      </c>
      <c r="C608" s="11">
        <v>10</v>
      </c>
      <c r="D608" s="11">
        <v>10</v>
      </c>
      <c r="E608" s="26" t="s">
        <v>33</v>
      </c>
      <c r="F608" t="s">
        <v>22</v>
      </c>
    </row>
    <row r="609" spans="1:6" x14ac:dyDescent="0.3">
      <c r="A609" s="73">
        <v>44628</v>
      </c>
      <c r="B609" s="11">
        <v>10</v>
      </c>
      <c r="C609" s="11">
        <v>10</v>
      </c>
      <c r="D609" s="11">
        <v>10</v>
      </c>
      <c r="E609" s="26" t="s">
        <v>33</v>
      </c>
      <c r="F609" t="s">
        <v>22</v>
      </c>
    </row>
    <row r="610" spans="1:6" x14ac:dyDescent="0.3">
      <c r="A610" s="73">
        <v>44628</v>
      </c>
      <c r="B610" s="11">
        <v>10</v>
      </c>
      <c r="C610" s="11">
        <v>10</v>
      </c>
      <c r="D610" s="11">
        <v>10</v>
      </c>
      <c r="E610" s="26" t="s">
        <v>33</v>
      </c>
      <c r="F610" t="s">
        <v>22</v>
      </c>
    </row>
    <row r="611" spans="1:6" x14ac:dyDescent="0.3">
      <c r="A611" s="73">
        <v>44628</v>
      </c>
      <c r="B611" s="11">
        <v>10</v>
      </c>
      <c r="C611" s="11">
        <v>10</v>
      </c>
      <c r="D611" s="11">
        <v>10</v>
      </c>
      <c r="E611" s="26" t="s">
        <v>33</v>
      </c>
      <c r="F611" t="s">
        <v>22</v>
      </c>
    </row>
    <row r="612" spans="1:6" x14ac:dyDescent="0.3">
      <c r="A612" s="73">
        <v>44628</v>
      </c>
      <c r="B612" s="11">
        <v>10</v>
      </c>
      <c r="C612" s="11">
        <v>10</v>
      </c>
      <c r="D612" s="11">
        <v>10</v>
      </c>
      <c r="E612" s="26" t="s">
        <v>33</v>
      </c>
      <c r="F612" t="s">
        <v>22</v>
      </c>
    </row>
    <row r="613" spans="1:6" x14ac:dyDescent="0.3">
      <c r="A613" s="73">
        <v>44634</v>
      </c>
      <c r="B613" s="11">
        <v>10</v>
      </c>
      <c r="C613" s="11">
        <v>10</v>
      </c>
      <c r="D613" s="11">
        <v>10</v>
      </c>
      <c r="E613" s="26" t="s">
        <v>33</v>
      </c>
      <c r="F613" t="s">
        <v>22</v>
      </c>
    </row>
    <row r="614" spans="1:6" x14ac:dyDescent="0.3">
      <c r="A614" s="73">
        <v>44634</v>
      </c>
      <c r="B614" s="11">
        <v>10</v>
      </c>
      <c r="C614" s="11">
        <v>10</v>
      </c>
      <c r="D614" s="11">
        <v>10</v>
      </c>
      <c r="E614" s="26" t="s">
        <v>33</v>
      </c>
      <c r="F614" t="s">
        <v>22</v>
      </c>
    </row>
    <row r="615" spans="1:6" x14ac:dyDescent="0.3">
      <c r="A615" s="73">
        <v>44634</v>
      </c>
      <c r="B615" s="11">
        <v>10</v>
      </c>
      <c r="C615" s="11">
        <v>10</v>
      </c>
      <c r="D615" s="11">
        <v>10</v>
      </c>
      <c r="E615" s="26" t="s">
        <v>33</v>
      </c>
      <c r="F615" t="s">
        <v>22</v>
      </c>
    </row>
    <row r="616" spans="1:6" x14ac:dyDescent="0.3">
      <c r="A616" s="73">
        <v>44634</v>
      </c>
      <c r="B616" s="11">
        <v>10</v>
      </c>
      <c r="C616" s="11">
        <v>10</v>
      </c>
      <c r="D616" s="11">
        <v>10</v>
      </c>
      <c r="E616" s="26" t="s">
        <v>33</v>
      </c>
      <c r="F616" t="s">
        <v>22</v>
      </c>
    </row>
    <row r="617" spans="1:6" x14ac:dyDescent="0.3">
      <c r="A617" s="74">
        <v>44635</v>
      </c>
      <c r="B617" s="28">
        <v>10</v>
      </c>
      <c r="C617" s="28">
        <v>10</v>
      </c>
      <c r="D617" s="28">
        <v>10</v>
      </c>
      <c r="E617" s="26" t="s">
        <v>33</v>
      </c>
      <c r="F617" t="s">
        <v>22</v>
      </c>
    </row>
    <row r="618" spans="1:6" x14ac:dyDescent="0.3">
      <c r="A618" s="74">
        <v>44635</v>
      </c>
      <c r="B618" s="28">
        <v>10</v>
      </c>
      <c r="C618" s="28">
        <v>10</v>
      </c>
      <c r="D618" s="28">
        <v>10</v>
      </c>
      <c r="E618" s="26" t="s">
        <v>33</v>
      </c>
      <c r="F618" t="s">
        <v>22</v>
      </c>
    </row>
    <row r="619" spans="1:6" x14ac:dyDescent="0.3">
      <c r="A619" s="74">
        <v>44635</v>
      </c>
      <c r="B619" s="28">
        <v>10</v>
      </c>
      <c r="C619" s="28">
        <v>10</v>
      </c>
      <c r="D619" s="28">
        <v>10</v>
      </c>
      <c r="E619" s="26" t="s">
        <v>33</v>
      </c>
      <c r="F619" t="s">
        <v>22</v>
      </c>
    </row>
    <row r="620" spans="1:6" x14ac:dyDescent="0.3">
      <c r="A620" s="74">
        <v>44635</v>
      </c>
      <c r="B620" s="28">
        <v>10</v>
      </c>
      <c r="C620" s="28">
        <v>10</v>
      </c>
      <c r="D620" s="28">
        <v>10</v>
      </c>
      <c r="E620" s="26" t="s">
        <v>33</v>
      </c>
      <c r="F620" t="s">
        <v>22</v>
      </c>
    </row>
    <row r="621" spans="1:6" x14ac:dyDescent="0.3">
      <c r="A621" s="74">
        <v>44641</v>
      </c>
      <c r="B621" s="28">
        <v>10</v>
      </c>
      <c r="C621" s="28">
        <v>10</v>
      </c>
      <c r="D621" s="28">
        <v>10</v>
      </c>
      <c r="E621" s="26" t="s">
        <v>33</v>
      </c>
      <c r="F621" t="s">
        <v>22</v>
      </c>
    </row>
    <row r="622" spans="1:6" x14ac:dyDescent="0.3">
      <c r="A622" s="74">
        <v>44641</v>
      </c>
      <c r="B622" s="28">
        <v>10</v>
      </c>
      <c r="C622" s="28">
        <v>10</v>
      </c>
      <c r="D622" s="28">
        <v>10</v>
      </c>
      <c r="E622" s="26" t="s">
        <v>33</v>
      </c>
      <c r="F622" t="s">
        <v>22</v>
      </c>
    </row>
    <row r="623" spans="1:6" x14ac:dyDescent="0.3">
      <c r="A623" s="74">
        <v>44641</v>
      </c>
      <c r="B623" s="28">
        <v>10</v>
      </c>
      <c r="C623" s="28">
        <v>10</v>
      </c>
      <c r="D623" s="28">
        <v>10</v>
      </c>
      <c r="E623" s="26" t="s">
        <v>33</v>
      </c>
      <c r="F623" t="s">
        <v>22</v>
      </c>
    </row>
    <row r="624" spans="1:6" x14ac:dyDescent="0.3">
      <c r="A624" s="74">
        <v>44641</v>
      </c>
      <c r="B624" s="28">
        <v>10</v>
      </c>
      <c r="C624" s="28">
        <v>10</v>
      </c>
      <c r="D624" s="28">
        <v>10</v>
      </c>
      <c r="E624" s="26" t="s">
        <v>33</v>
      </c>
      <c r="F624" t="s">
        <v>22</v>
      </c>
    </row>
    <row r="625" spans="1:6" x14ac:dyDescent="0.3">
      <c r="A625" s="74">
        <v>44642</v>
      </c>
      <c r="B625" s="28">
        <v>10</v>
      </c>
      <c r="C625" s="28">
        <v>10</v>
      </c>
      <c r="D625" s="28">
        <v>10</v>
      </c>
      <c r="E625" s="26" t="s">
        <v>33</v>
      </c>
      <c r="F625" t="s">
        <v>22</v>
      </c>
    </row>
    <row r="626" spans="1:6" x14ac:dyDescent="0.3">
      <c r="A626" s="74">
        <v>44642</v>
      </c>
      <c r="B626" s="28">
        <v>10</v>
      </c>
      <c r="C626" s="28">
        <v>10</v>
      </c>
      <c r="D626" s="28">
        <v>10</v>
      </c>
      <c r="E626" s="26" t="s">
        <v>33</v>
      </c>
      <c r="F626" t="s">
        <v>22</v>
      </c>
    </row>
    <row r="627" spans="1:6" x14ac:dyDescent="0.3">
      <c r="A627" s="74">
        <v>44642</v>
      </c>
      <c r="B627" s="28">
        <v>10</v>
      </c>
      <c r="C627" s="28">
        <v>10</v>
      </c>
      <c r="D627" s="28">
        <v>10</v>
      </c>
      <c r="E627" s="26" t="s">
        <v>33</v>
      </c>
      <c r="F627" t="s">
        <v>22</v>
      </c>
    </row>
    <row r="628" spans="1:6" x14ac:dyDescent="0.3">
      <c r="A628" s="74">
        <v>44642</v>
      </c>
      <c r="B628" s="28">
        <v>10</v>
      </c>
      <c r="C628" s="28">
        <v>10</v>
      </c>
      <c r="D628" s="28">
        <v>10</v>
      </c>
      <c r="E628" s="26" t="s">
        <v>33</v>
      </c>
      <c r="F628" t="s">
        <v>22</v>
      </c>
    </row>
    <row r="629" spans="1:6" x14ac:dyDescent="0.3">
      <c r="A629" s="74">
        <v>44648</v>
      </c>
      <c r="B629" s="28">
        <v>10</v>
      </c>
      <c r="C629" s="28">
        <v>10</v>
      </c>
      <c r="D629" s="28">
        <v>10</v>
      </c>
      <c r="E629" s="26" t="s">
        <v>33</v>
      </c>
      <c r="F629" t="s">
        <v>22</v>
      </c>
    </row>
    <row r="630" spans="1:6" x14ac:dyDescent="0.3">
      <c r="A630" s="74">
        <v>44648</v>
      </c>
      <c r="B630" s="28">
        <v>10</v>
      </c>
      <c r="C630" s="28">
        <v>10</v>
      </c>
      <c r="D630" s="28">
        <v>10</v>
      </c>
      <c r="E630" s="26" t="s">
        <v>33</v>
      </c>
      <c r="F630" t="s">
        <v>22</v>
      </c>
    </row>
    <row r="631" spans="1:6" x14ac:dyDescent="0.3">
      <c r="A631" s="74">
        <v>44648</v>
      </c>
      <c r="B631" s="28">
        <v>10</v>
      </c>
      <c r="C631" s="28">
        <v>10</v>
      </c>
      <c r="D631" s="28">
        <v>10</v>
      </c>
      <c r="E631" s="26" t="s">
        <v>33</v>
      </c>
      <c r="F631" t="s">
        <v>22</v>
      </c>
    </row>
    <row r="632" spans="1:6" x14ac:dyDescent="0.3">
      <c r="A632" s="74">
        <v>44648</v>
      </c>
      <c r="B632" s="28">
        <v>10</v>
      </c>
      <c r="C632" s="28">
        <v>10</v>
      </c>
      <c r="D632" s="28">
        <v>10</v>
      </c>
      <c r="E632" s="26" t="s">
        <v>33</v>
      </c>
      <c r="F632" t="s">
        <v>22</v>
      </c>
    </row>
    <row r="633" spans="1:6" x14ac:dyDescent="0.3">
      <c r="A633" s="74">
        <v>44655</v>
      </c>
      <c r="B633" s="28">
        <v>10</v>
      </c>
      <c r="C633" s="28">
        <v>10</v>
      </c>
      <c r="D633" s="28">
        <v>10</v>
      </c>
      <c r="E633" s="26" t="s">
        <v>33</v>
      </c>
      <c r="F633" t="s">
        <v>22</v>
      </c>
    </row>
    <row r="634" spans="1:6" x14ac:dyDescent="0.3">
      <c r="A634" s="74">
        <v>44655</v>
      </c>
      <c r="B634" s="28">
        <v>10</v>
      </c>
      <c r="C634" s="28">
        <v>10</v>
      </c>
      <c r="D634" s="28">
        <v>10</v>
      </c>
      <c r="E634" s="26" t="s">
        <v>33</v>
      </c>
      <c r="F634" t="s">
        <v>22</v>
      </c>
    </row>
    <row r="635" spans="1:6" x14ac:dyDescent="0.3">
      <c r="A635" s="74">
        <v>44655</v>
      </c>
      <c r="B635" s="28">
        <v>7</v>
      </c>
      <c r="C635" s="28">
        <v>7</v>
      </c>
      <c r="D635" s="28">
        <v>7</v>
      </c>
      <c r="E635" s="26" t="s">
        <v>33</v>
      </c>
      <c r="F635" t="s">
        <v>22</v>
      </c>
    </row>
    <row r="636" spans="1:6" x14ac:dyDescent="0.3">
      <c r="A636" s="74">
        <v>44662</v>
      </c>
      <c r="B636" s="28">
        <v>10</v>
      </c>
      <c r="C636" s="28">
        <v>10</v>
      </c>
      <c r="D636" s="28">
        <v>10</v>
      </c>
      <c r="E636" s="26" t="s">
        <v>33</v>
      </c>
      <c r="F636" t="s">
        <v>22</v>
      </c>
    </row>
    <row r="637" spans="1:6" x14ac:dyDescent="0.3">
      <c r="A637" s="74">
        <v>44662</v>
      </c>
      <c r="B637" s="28">
        <v>7</v>
      </c>
      <c r="C637" s="28">
        <v>7</v>
      </c>
      <c r="D637" s="28">
        <v>7</v>
      </c>
      <c r="E637" s="26" t="s">
        <v>33</v>
      </c>
      <c r="F637" t="s">
        <v>22</v>
      </c>
    </row>
    <row r="638" spans="1:6" x14ac:dyDescent="0.3">
      <c r="A638" s="74">
        <v>44672</v>
      </c>
      <c r="B638" s="28">
        <v>10</v>
      </c>
      <c r="C638" s="28">
        <v>10</v>
      </c>
      <c r="D638" s="28">
        <v>10</v>
      </c>
      <c r="E638" s="26" t="s">
        <v>33</v>
      </c>
      <c r="F638" t="s">
        <v>22</v>
      </c>
    </row>
    <row r="639" spans="1:6" x14ac:dyDescent="0.3">
      <c r="A639" s="74">
        <v>44672</v>
      </c>
      <c r="B639" s="28">
        <v>8</v>
      </c>
      <c r="C639" s="28">
        <v>8</v>
      </c>
      <c r="D639" s="28">
        <v>8</v>
      </c>
      <c r="E639" s="26" t="s">
        <v>33</v>
      </c>
      <c r="F639" t="s">
        <v>22</v>
      </c>
    </row>
    <row r="640" spans="1:6" x14ac:dyDescent="0.3">
      <c r="A640" s="74">
        <v>44718</v>
      </c>
      <c r="B640" s="28">
        <v>6</v>
      </c>
      <c r="C640" s="28">
        <v>6</v>
      </c>
      <c r="D640" s="28">
        <v>6</v>
      </c>
      <c r="E640" s="26" t="s">
        <v>33</v>
      </c>
      <c r="F640" t="s">
        <v>22</v>
      </c>
    </row>
    <row r="641" spans="1:6" x14ac:dyDescent="0.3">
      <c r="A641" s="74">
        <v>44746</v>
      </c>
      <c r="B641" s="11">
        <v>1</v>
      </c>
      <c r="C641" s="11">
        <v>1</v>
      </c>
      <c r="D641" s="11">
        <v>1</v>
      </c>
      <c r="E641" s="26" t="s">
        <v>33</v>
      </c>
      <c r="F641" t="s">
        <v>22</v>
      </c>
    </row>
    <row r="642" spans="1:6" x14ac:dyDescent="0.3">
      <c r="A642" s="73">
        <v>44418</v>
      </c>
      <c r="B642" s="11">
        <v>100</v>
      </c>
      <c r="C642" s="11"/>
      <c r="D642" s="11">
        <v>100</v>
      </c>
      <c r="E642" s="26" t="s">
        <v>33</v>
      </c>
      <c r="F642" t="s">
        <v>21</v>
      </c>
    </row>
    <row r="643" spans="1:6" x14ac:dyDescent="0.3">
      <c r="A643" s="73">
        <v>44425</v>
      </c>
      <c r="B643" s="11" t="s">
        <v>23</v>
      </c>
      <c r="C643" s="11"/>
      <c r="D643" s="11">
        <v>21</v>
      </c>
      <c r="E643" s="26" t="s">
        <v>33</v>
      </c>
      <c r="F643" t="s">
        <v>21</v>
      </c>
    </row>
    <row r="644" spans="1:6" x14ac:dyDescent="0.3">
      <c r="A644" s="73">
        <v>44425</v>
      </c>
      <c r="B644" s="11">
        <v>10</v>
      </c>
      <c r="C644" s="11"/>
      <c r="D644" s="11">
        <v>10</v>
      </c>
      <c r="E644" s="26" t="s">
        <v>33</v>
      </c>
      <c r="F644" t="s">
        <v>21</v>
      </c>
    </row>
    <row r="645" spans="1:6" x14ac:dyDescent="0.3">
      <c r="A645" s="73">
        <v>44425</v>
      </c>
      <c r="B645" s="11">
        <v>302</v>
      </c>
      <c r="C645" s="11"/>
      <c r="D645" s="11"/>
      <c r="E645" s="26" t="s">
        <v>33</v>
      </c>
      <c r="F645" t="s">
        <v>21</v>
      </c>
    </row>
    <row r="646" spans="1:6" x14ac:dyDescent="0.3">
      <c r="A646" s="73">
        <v>44426</v>
      </c>
      <c r="B646" s="11"/>
      <c r="C646" s="11"/>
      <c r="D646" s="11"/>
      <c r="E646" s="26" t="s">
        <v>33</v>
      </c>
      <c r="F646" t="s">
        <v>21</v>
      </c>
    </row>
    <row r="647" spans="1:6" x14ac:dyDescent="0.3">
      <c r="A647" s="73">
        <v>44442</v>
      </c>
      <c r="B647" s="11">
        <v>428</v>
      </c>
      <c r="C647" s="11"/>
      <c r="D647" s="11"/>
      <c r="E647" s="26" t="s">
        <v>33</v>
      </c>
      <c r="F647" t="s">
        <v>21</v>
      </c>
    </row>
    <row r="648" spans="1:6" x14ac:dyDescent="0.3">
      <c r="A648" s="73">
        <v>44463</v>
      </c>
      <c r="B648" s="11">
        <v>545</v>
      </c>
      <c r="C648" s="11"/>
      <c r="D648" s="11">
        <v>511</v>
      </c>
      <c r="E648" s="26" t="s">
        <v>33</v>
      </c>
      <c r="F648" t="s">
        <v>21</v>
      </c>
    </row>
    <row r="649" spans="1:6" x14ac:dyDescent="0.3">
      <c r="A649" s="73">
        <v>44501</v>
      </c>
      <c r="B649" s="11">
        <v>301</v>
      </c>
      <c r="C649" s="11"/>
      <c r="D649" s="11"/>
      <c r="E649" s="26" t="s">
        <v>33</v>
      </c>
      <c r="F649" t="s">
        <v>21</v>
      </c>
    </row>
    <row r="650" spans="1:6" x14ac:dyDescent="0.3">
      <c r="A650" s="73">
        <v>44545</v>
      </c>
      <c r="B650" s="11">
        <v>119</v>
      </c>
      <c r="C650" s="11"/>
      <c r="D650" s="11">
        <v>10</v>
      </c>
      <c r="E650" s="26" t="s">
        <v>33</v>
      </c>
      <c r="F650" t="s">
        <v>21</v>
      </c>
    </row>
    <row r="651" spans="1:6" x14ac:dyDescent="0.3">
      <c r="A651" s="73">
        <v>44552</v>
      </c>
      <c r="B651" s="11">
        <v>30</v>
      </c>
      <c r="C651" s="11"/>
      <c r="D651" s="11"/>
      <c r="E651" s="26" t="s">
        <v>33</v>
      </c>
      <c r="F651" t="s">
        <v>21</v>
      </c>
    </row>
    <row r="652" spans="1:6" x14ac:dyDescent="0.3">
      <c r="A652" s="73">
        <v>44600</v>
      </c>
      <c r="B652" s="11">
        <v>156</v>
      </c>
      <c r="C652" s="11"/>
      <c r="D652" s="11"/>
      <c r="E652" s="26" t="s">
        <v>33</v>
      </c>
      <c r="F652" t="s">
        <v>21</v>
      </c>
    </row>
    <row r="653" spans="1:6" x14ac:dyDescent="0.3">
      <c r="A653" s="73">
        <v>44651</v>
      </c>
      <c r="B653" s="11">
        <v>90</v>
      </c>
      <c r="C653" s="11"/>
      <c r="D653" s="11"/>
      <c r="E653" s="26" t="s">
        <v>33</v>
      </c>
      <c r="F653" t="s">
        <v>21</v>
      </c>
    </row>
    <row r="654" spans="1:6" x14ac:dyDescent="0.3">
      <c r="A654" s="73">
        <v>44659</v>
      </c>
      <c r="B654" s="11">
        <v>66</v>
      </c>
      <c r="C654" s="11"/>
      <c r="D654" s="11"/>
      <c r="E654" s="26" t="s">
        <v>33</v>
      </c>
      <c r="F654" t="s">
        <v>21</v>
      </c>
    </row>
    <row r="655" spans="1:6" ht="15.6" x14ac:dyDescent="0.3">
      <c r="A655" s="75">
        <v>44158</v>
      </c>
      <c r="B655" s="11">
        <v>30</v>
      </c>
      <c r="C655" s="11">
        <v>30</v>
      </c>
      <c r="D655" s="11">
        <v>30</v>
      </c>
      <c r="E655" s="26" t="s">
        <v>34</v>
      </c>
      <c r="F655" s="17" t="s">
        <v>17</v>
      </c>
    </row>
    <row r="656" spans="1:6" ht="15.6" x14ac:dyDescent="0.3">
      <c r="A656" s="75">
        <v>44158</v>
      </c>
      <c r="B656" s="11">
        <v>30</v>
      </c>
      <c r="C656" s="11">
        <v>30</v>
      </c>
      <c r="D656" s="11">
        <v>30</v>
      </c>
      <c r="E656" s="26" t="s">
        <v>34</v>
      </c>
      <c r="F656" s="17" t="s">
        <v>17</v>
      </c>
    </row>
    <row r="657" spans="1:7" ht="15.6" x14ac:dyDescent="0.3">
      <c r="A657" s="75">
        <v>44188</v>
      </c>
      <c r="B657" s="11">
        <v>19</v>
      </c>
      <c r="C657" s="11">
        <v>19</v>
      </c>
      <c r="D657" s="11">
        <v>19</v>
      </c>
      <c r="E657" s="26" t="s">
        <v>34</v>
      </c>
      <c r="F657" s="17" t="s">
        <v>17</v>
      </c>
    </row>
    <row r="658" spans="1:7" ht="15.6" x14ac:dyDescent="0.3">
      <c r="A658" s="75">
        <v>44188</v>
      </c>
      <c r="B658" s="11">
        <v>20</v>
      </c>
      <c r="C658" s="11">
        <v>20</v>
      </c>
      <c r="D658" s="11">
        <v>20</v>
      </c>
      <c r="E658" s="26" t="s">
        <v>34</v>
      </c>
      <c r="F658" s="17" t="s">
        <v>17</v>
      </c>
    </row>
    <row r="659" spans="1:7" ht="15.6" x14ac:dyDescent="0.3">
      <c r="A659" s="75">
        <v>44216</v>
      </c>
      <c r="B659" s="11">
        <v>23</v>
      </c>
      <c r="C659" s="11">
        <v>23</v>
      </c>
      <c r="D659" s="11">
        <v>23</v>
      </c>
      <c r="E659" s="26" t="s">
        <v>34</v>
      </c>
      <c r="F659" s="17" t="s">
        <v>17</v>
      </c>
    </row>
    <row r="660" spans="1:7" ht="15.6" x14ac:dyDescent="0.3">
      <c r="A660" s="75">
        <v>44216</v>
      </c>
      <c r="B660" s="11">
        <v>20</v>
      </c>
      <c r="C660" s="11">
        <v>20</v>
      </c>
      <c r="D660" s="11">
        <v>20</v>
      </c>
      <c r="E660" s="26" t="s">
        <v>34</v>
      </c>
      <c r="F660" s="17" t="s">
        <v>17</v>
      </c>
    </row>
    <row r="661" spans="1:7" ht="15.6" x14ac:dyDescent="0.3">
      <c r="A661" s="9">
        <v>44251</v>
      </c>
      <c r="B661" s="11">
        <v>20</v>
      </c>
      <c r="C661" s="11">
        <v>20</v>
      </c>
      <c r="D661" s="11">
        <v>20</v>
      </c>
      <c r="E661" s="26" t="s">
        <v>34</v>
      </c>
      <c r="F661" s="17" t="s">
        <v>17</v>
      </c>
    </row>
    <row r="662" spans="1:7" ht="15.6" x14ac:dyDescent="0.3">
      <c r="A662" s="9">
        <v>44251</v>
      </c>
      <c r="B662" s="11">
        <v>28</v>
      </c>
      <c r="C662" s="11">
        <v>28</v>
      </c>
      <c r="D662" s="11">
        <v>28</v>
      </c>
      <c r="E662" s="26" t="s">
        <v>34</v>
      </c>
      <c r="F662" s="17" t="s">
        <v>17</v>
      </c>
    </row>
    <row r="663" spans="1:7" ht="15.6" x14ac:dyDescent="0.3">
      <c r="A663" s="10">
        <v>44291</v>
      </c>
      <c r="B663" s="11">
        <v>3</v>
      </c>
      <c r="C663" s="11">
        <v>3</v>
      </c>
      <c r="D663" s="11">
        <v>3</v>
      </c>
      <c r="E663" s="26" t="s">
        <v>34</v>
      </c>
      <c r="F663" s="17" t="s">
        <v>17</v>
      </c>
    </row>
    <row r="664" spans="1:7" ht="15.6" x14ac:dyDescent="0.3">
      <c r="A664" s="9">
        <v>43927</v>
      </c>
      <c r="B664" s="11">
        <v>11</v>
      </c>
      <c r="C664" s="11">
        <v>11</v>
      </c>
      <c r="D664" s="11">
        <v>11</v>
      </c>
      <c r="E664" s="26" t="s">
        <v>35</v>
      </c>
      <c r="F664" t="s">
        <v>24</v>
      </c>
      <c r="G664" s="11"/>
    </row>
    <row r="665" spans="1:7" ht="15.6" x14ac:dyDescent="0.3">
      <c r="A665" s="9">
        <v>43927</v>
      </c>
      <c r="B665" s="11">
        <v>9</v>
      </c>
      <c r="C665" s="11">
        <v>9</v>
      </c>
      <c r="D665" s="11">
        <v>9</v>
      </c>
      <c r="E665" s="26" t="s">
        <v>35</v>
      </c>
      <c r="F665" t="s">
        <v>24</v>
      </c>
      <c r="G665" s="11"/>
    </row>
    <row r="666" spans="1:7" ht="15.6" x14ac:dyDescent="0.3">
      <c r="A666" s="9">
        <v>44410</v>
      </c>
      <c r="B666" s="11">
        <v>9</v>
      </c>
      <c r="C666" s="11">
        <v>9</v>
      </c>
      <c r="D666" s="11">
        <v>9</v>
      </c>
      <c r="E666" s="26" t="s">
        <v>35</v>
      </c>
      <c r="F666" t="s">
        <v>24</v>
      </c>
      <c r="G666" s="11"/>
    </row>
    <row r="667" spans="1:7" ht="15.6" x14ac:dyDescent="0.3">
      <c r="A667" s="9">
        <v>44410</v>
      </c>
      <c r="B667" s="11">
        <v>16</v>
      </c>
      <c r="C667" s="11">
        <v>16</v>
      </c>
      <c r="D667" s="11">
        <v>16</v>
      </c>
      <c r="E667" s="26" t="s">
        <v>35</v>
      </c>
      <c r="F667" t="s">
        <v>24</v>
      </c>
      <c r="G667" s="11"/>
    </row>
    <row r="668" spans="1:7" ht="15.6" x14ac:dyDescent="0.3">
      <c r="A668" s="9">
        <v>44435</v>
      </c>
      <c r="B668" s="11">
        <v>16</v>
      </c>
      <c r="C668" s="11">
        <v>16</v>
      </c>
      <c r="D668" s="12">
        <v>16</v>
      </c>
      <c r="E668" s="26" t="s">
        <v>35</v>
      </c>
      <c r="F668" t="s">
        <v>24</v>
      </c>
      <c r="G668" s="11"/>
    </row>
    <row r="669" spans="1:7" ht="15.6" x14ac:dyDescent="0.3">
      <c r="A669" s="9">
        <v>44435</v>
      </c>
      <c r="B669" s="11">
        <v>16</v>
      </c>
      <c r="C669" s="11">
        <v>16</v>
      </c>
      <c r="D669" s="12">
        <v>16</v>
      </c>
      <c r="E669" s="26" t="s">
        <v>35</v>
      </c>
      <c r="F669" t="s">
        <v>24</v>
      </c>
      <c r="G669" s="11"/>
    </row>
    <row r="670" spans="1:7" ht="15.6" x14ac:dyDescent="0.3">
      <c r="A670" s="9">
        <v>44435</v>
      </c>
      <c r="B670" s="11">
        <v>15</v>
      </c>
      <c r="C670" s="11">
        <v>15</v>
      </c>
      <c r="D670" s="11">
        <v>15</v>
      </c>
      <c r="E670" s="26" t="s">
        <v>35</v>
      </c>
      <c r="F670" t="s">
        <v>24</v>
      </c>
      <c r="G670" s="11"/>
    </row>
    <row r="671" spans="1:7" ht="15.6" x14ac:dyDescent="0.3">
      <c r="A671" s="9">
        <v>44435</v>
      </c>
      <c r="B671" s="11">
        <v>11</v>
      </c>
      <c r="C671" s="11">
        <v>11</v>
      </c>
      <c r="D671" s="12">
        <v>11</v>
      </c>
      <c r="E671" s="26" t="s">
        <v>35</v>
      </c>
      <c r="F671" t="s">
        <v>24</v>
      </c>
      <c r="G671" s="11"/>
    </row>
    <row r="672" spans="1:7" ht="15.6" x14ac:dyDescent="0.3">
      <c r="A672" s="9">
        <v>44435</v>
      </c>
      <c r="B672" s="11">
        <v>12</v>
      </c>
      <c r="C672" s="11">
        <v>12</v>
      </c>
      <c r="D672" s="12">
        <v>12</v>
      </c>
      <c r="E672" s="26" t="s">
        <v>35</v>
      </c>
      <c r="F672" t="s">
        <v>24</v>
      </c>
      <c r="G672" s="11"/>
    </row>
    <row r="673" spans="1:7" ht="15.6" x14ac:dyDescent="0.3">
      <c r="A673" s="9">
        <v>44435</v>
      </c>
      <c r="B673" s="11">
        <v>11</v>
      </c>
      <c r="C673" s="11">
        <v>11</v>
      </c>
      <c r="D673" s="11">
        <v>11</v>
      </c>
      <c r="E673" s="26" t="s">
        <v>35</v>
      </c>
      <c r="F673" t="s">
        <v>24</v>
      </c>
      <c r="G673" s="11"/>
    </row>
    <row r="674" spans="1:7" ht="15.6" x14ac:dyDescent="0.3">
      <c r="A674" s="75">
        <v>44512</v>
      </c>
      <c r="B674" s="11">
        <v>27</v>
      </c>
      <c r="C674" s="11"/>
      <c r="D674" s="12"/>
      <c r="E674" s="26" t="s">
        <v>35</v>
      </c>
      <c r="F674" t="s">
        <v>24</v>
      </c>
    </row>
    <row r="675" spans="1:7" ht="15.6" x14ac:dyDescent="0.3">
      <c r="A675" s="75">
        <v>44512</v>
      </c>
      <c r="B675" s="12">
        <v>21</v>
      </c>
      <c r="C675" s="11"/>
      <c r="D675" s="12"/>
      <c r="E675" s="26" t="s">
        <v>35</v>
      </c>
      <c r="F675" t="s">
        <v>24</v>
      </c>
    </row>
    <row r="676" spans="1:7" ht="15.6" x14ac:dyDescent="0.3">
      <c r="A676" s="75">
        <v>44512</v>
      </c>
      <c r="B676" s="12">
        <v>24</v>
      </c>
      <c r="C676" s="11"/>
      <c r="D676" s="12"/>
      <c r="E676" s="26" t="s">
        <v>35</v>
      </c>
      <c r="F676" t="s">
        <v>24</v>
      </c>
    </row>
    <row r="677" spans="1:7" ht="15.6" x14ac:dyDescent="0.3">
      <c r="A677" s="75">
        <v>44512</v>
      </c>
      <c r="B677" s="12">
        <v>22</v>
      </c>
      <c r="C677" s="11"/>
      <c r="D677" s="12"/>
      <c r="E677" s="26" t="s">
        <v>35</v>
      </c>
      <c r="F677" t="s">
        <v>24</v>
      </c>
    </row>
    <row r="678" spans="1:7" ht="15.6" x14ac:dyDescent="0.3">
      <c r="A678" s="75">
        <v>44512</v>
      </c>
      <c r="B678" s="12">
        <v>28</v>
      </c>
      <c r="C678" s="11"/>
      <c r="D678" s="12"/>
      <c r="E678" s="26" t="s">
        <v>35</v>
      </c>
      <c r="F678" t="s">
        <v>24</v>
      </c>
    </row>
    <row r="679" spans="1:7" ht="15.6" x14ac:dyDescent="0.3">
      <c r="A679" s="75">
        <v>44512</v>
      </c>
      <c r="B679" s="12">
        <v>25</v>
      </c>
      <c r="C679" s="11"/>
      <c r="D679" s="12"/>
      <c r="E679" s="26" t="s">
        <v>35</v>
      </c>
      <c r="F679" t="s">
        <v>24</v>
      </c>
    </row>
    <row r="680" spans="1:7" ht="15.6" x14ac:dyDescent="0.3">
      <c r="A680" s="75">
        <v>44519</v>
      </c>
      <c r="B680" s="12">
        <v>17</v>
      </c>
      <c r="C680" s="11"/>
      <c r="D680" s="12"/>
      <c r="E680" s="26" t="s">
        <v>35</v>
      </c>
      <c r="F680" t="s">
        <v>24</v>
      </c>
    </row>
    <row r="681" spans="1:7" ht="15.6" x14ac:dyDescent="0.3">
      <c r="A681" s="75">
        <v>44519</v>
      </c>
      <c r="B681" s="12">
        <v>4</v>
      </c>
      <c r="C681" s="11"/>
      <c r="D681" s="12"/>
      <c r="E681" s="26" t="s">
        <v>35</v>
      </c>
      <c r="F681" t="s">
        <v>24</v>
      </c>
    </row>
    <row r="682" spans="1:7" ht="15.6" x14ac:dyDescent="0.3">
      <c r="A682" s="75">
        <v>44519</v>
      </c>
      <c r="B682" s="12">
        <v>6</v>
      </c>
      <c r="C682" s="11"/>
      <c r="D682" s="12"/>
      <c r="E682" s="26" t="s">
        <v>35</v>
      </c>
      <c r="F682" t="s">
        <v>24</v>
      </c>
    </row>
    <row r="683" spans="1:7" ht="15.6" x14ac:dyDescent="0.3">
      <c r="A683" s="9">
        <v>43927</v>
      </c>
      <c r="B683" s="11">
        <v>10</v>
      </c>
      <c r="C683" s="11">
        <v>10</v>
      </c>
      <c r="D683" s="11">
        <v>10</v>
      </c>
      <c r="E683" s="26" t="s">
        <v>35</v>
      </c>
      <c r="F683" t="s">
        <v>25</v>
      </c>
    </row>
    <row r="684" spans="1:7" ht="15.6" x14ac:dyDescent="0.3">
      <c r="A684" s="9">
        <v>43927</v>
      </c>
      <c r="B684" s="11">
        <v>8</v>
      </c>
      <c r="C684" s="11">
        <v>8</v>
      </c>
      <c r="D684" s="11">
        <v>8</v>
      </c>
      <c r="E684" s="26" t="s">
        <v>35</v>
      </c>
      <c r="F684" t="s">
        <v>25</v>
      </c>
    </row>
    <row r="685" spans="1:7" ht="15.6" x14ac:dyDescent="0.3">
      <c r="A685" s="9">
        <v>44410</v>
      </c>
      <c r="B685" s="11">
        <v>7</v>
      </c>
      <c r="C685" s="11">
        <v>7</v>
      </c>
      <c r="D685" s="11">
        <v>7</v>
      </c>
      <c r="E685" s="26" t="s">
        <v>35</v>
      </c>
      <c r="F685" t="s">
        <v>25</v>
      </c>
    </row>
    <row r="686" spans="1:7" ht="15.6" x14ac:dyDescent="0.3">
      <c r="A686" s="9">
        <v>44410</v>
      </c>
      <c r="B686" s="11">
        <v>10</v>
      </c>
      <c r="C686" s="11">
        <v>10</v>
      </c>
      <c r="D686" s="11">
        <v>10</v>
      </c>
      <c r="E686" s="26" t="s">
        <v>35</v>
      </c>
      <c r="F686" t="s">
        <v>25</v>
      </c>
    </row>
    <row r="687" spans="1:7" ht="15.6" x14ac:dyDescent="0.3">
      <c r="A687" s="9">
        <v>44435</v>
      </c>
      <c r="B687" s="11">
        <v>14</v>
      </c>
      <c r="C687" s="11">
        <v>14</v>
      </c>
      <c r="D687" s="12">
        <v>14</v>
      </c>
      <c r="E687" s="26" t="s">
        <v>35</v>
      </c>
      <c r="F687" t="s">
        <v>25</v>
      </c>
    </row>
    <row r="688" spans="1:7" ht="15.6" x14ac:dyDescent="0.3">
      <c r="A688" s="9">
        <v>44435</v>
      </c>
      <c r="B688" s="11">
        <v>14</v>
      </c>
      <c r="C688" s="11">
        <v>14</v>
      </c>
      <c r="D688" s="12">
        <v>14</v>
      </c>
      <c r="E688" s="26" t="s">
        <v>35</v>
      </c>
      <c r="F688" t="s">
        <v>25</v>
      </c>
    </row>
    <row r="689" spans="1:6" ht="15.6" x14ac:dyDescent="0.3">
      <c r="A689" s="9">
        <v>44435</v>
      </c>
      <c r="B689" s="11">
        <v>14</v>
      </c>
      <c r="C689" s="11">
        <v>14</v>
      </c>
      <c r="D689" s="12">
        <v>14</v>
      </c>
      <c r="E689" s="26" t="s">
        <v>35</v>
      </c>
      <c r="F689" t="s">
        <v>25</v>
      </c>
    </row>
    <row r="690" spans="1:6" ht="15.6" x14ac:dyDescent="0.3">
      <c r="A690" s="9">
        <v>44435</v>
      </c>
      <c r="B690" s="11">
        <v>11</v>
      </c>
      <c r="C690" s="11">
        <v>10</v>
      </c>
      <c r="D690" s="12">
        <v>11</v>
      </c>
      <c r="E690" s="26" t="s">
        <v>35</v>
      </c>
      <c r="F690" t="s">
        <v>25</v>
      </c>
    </row>
    <row r="691" spans="1:6" ht="15.6" x14ac:dyDescent="0.3">
      <c r="A691" s="9">
        <v>44435</v>
      </c>
      <c r="B691" s="11">
        <v>10</v>
      </c>
      <c r="C691" s="11">
        <v>10</v>
      </c>
      <c r="D691" s="12">
        <v>10</v>
      </c>
      <c r="E691" s="26" t="s">
        <v>35</v>
      </c>
      <c r="F691" t="s">
        <v>25</v>
      </c>
    </row>
    <row r="692" spans="1:6" ht="15.6" x14ac:dyDescent="0.3">
      <c r="A692" s="9">
        <v>44435</v>
      </c>
      <c r="B692" s="11">
        <v>9</v>
      </c>
      <c r="C692" s="11">
        <v>9</v>
      </c>
      <c r="D692" s="12">
        <v>9</v>
      </c>
      <c r="E692" s="26" t="s">
        <v>35</v>
      </c>
      <c r="F692" t="s">
        <v>25</v>
      </c>
    </row>
    <row r="693" spans="1:6" ht="15.6" x14ac:dyDescent="0.3">
      <c r="A693" s="75">
        <v>44519</v>
      </c>
      <c r="B693" s="12">
        <v>23</v>
      </c>
      <c r="C693" s="11"/>
      <c r="D693" s="12"/>
      <c r="E693" s="26" t="s">
        <v>35</v>
      </c>
      <c r="F693" t="s">
        <v>25</v>
      </c>
    </row>
    <row r="694" spans="1:6" ht="15.6" x14ac:dyDescent="0.3">
      <c r="A694" s="75">
        <v>44519</v>
      </c>
      <c r="B694" s="12">
        <v>31</v>
      </c>
      <c r="C694" s="11"/>
      <c r="D694" s="12"/>
      <c r="E694" s="26" t="s">
        <v>35</v>
      </c>
      <c r="F694" t="s">
        <v>25</v>
      </c>
    </row>
    <row r="695" spans="1:6" ht="15.6" x14ac:dyDescent="0.3">
      <c r="A695" s="75">
        <v>44519</v>
      </c>
      <c r="B695" s="12">
        <v>26</v>
      </c>
      <c r="C695" s="11"/>
      <c r="D695" s="12"/>
      <c r="E695" s="26" t="s">
        <v>35</v>
      </c>
      <c r="F695" t="s">
        <v>25</v>
      </c>
    </row>
    <row r="696" spans="1:6" ht="15.6" x14ac:dyDescent="0.3">
      <c r="A696" s="75">
        <v>44519</v>
      </c>
      <c r="B696" s="12">
        <v>33</v>
      </c>
      <c r="C696" s="11"/>
      <c r="D696" s="12"/>
      <c r="E696" s="26" t="s">
        <v>35</v>
      </c>
      <c r="F696" t="s">
        <v>25</v>
      </c>
    </row>
    <row r="697" spans="1:6" ht="15.6" x14ac:dyDescent="0.3">
      <c r="A697" s="75">
        <v>44519</v>
      </c>
      <c r="B697" s="12">
        <v>21</v>
      </c>
      <c r="C697" s="11"/>
      <c r="D697" s="12"/>
      <c r="E697" s="26" t="s">
        <v>35</v>
      </c>
      <c r="F697" t="s">
        <v>25</v>
      </c>
    </row>
    <row r="698" spans="1:6" ht="15.6" x14ac:dyDescent="0.3">
      <c r="A698" s="75">
        <v>44519</v>
      </c>
      <c r="B698" s="12">
        <v>14</v>
      </c>
      <c r="C698" s="11"/>
      <c r="D698" s="12"/>
      <c r="E698" s="26" t="s">
        <v>35</v>
      </c>
      <c r="F698" t="s">
        <v>25</v>
      </c>
    </row>
    <row r="699" spans="1:6" ht="15.6" x14ac:dyDescent="0.3">
      <c r="A699" s="10">
        <v>43917</v>
      </c>
      <c r="B699" s="14">
        <v>2</v>
      </c>
      <c r="C699" s="29">
        <v>2</v>
      </c>
      <c r="D699" s="14">
        <v>2</v>
      </c>
      <c r="E699" s="26" t="s">
        <v>36</v>
      </c>
      <c r="F699" s="17" t="s">
        <v>17</v>
      </c>
    </row>
    <row r="700" spans="1:6" ht="15.6" x14ac:dyDescent="0.3">
      <c r="A700" s="10">
        <v>44214</v>
      </c>
      <c r="B700" s="14">
        <v>4</v>
      </c>
      <c r="C700" s="29">
        <v>4</v>
      </c>
      <c r="D700" s="14">
        <v>4</v>
      </c>
      <c r="E700" s="26" t="s">
        <v>36</v>
      </c>
      <c r="F700" s="17" t="s">
        <v>17</v>
      </c>
    </row>
    <row r="701" spans="1:6" ht="15.6" x14ac:dyDescent="0.3">
      <c r="A701" s="10">
        <v>44236</v>
      </c>
      <c r="B701" s="14">
        <v>12</v>
      </c>
      <c r="C701" s="29">
        <v>12</v>
      </c>
      <c r="D701" s="14">
        <v>12</v>
      </c>
      <c r="E701" s="26" t="s">
        <v>36</v>
      </c>
      <c r="F701" s="17" t="s">
        <v>17</v>
      </c>
    </row>
    <row r="702" spans="1:6" ht="15.6" x14ac:dyDescent="0.3">
      <c r="A702" s="75">
        <v>44285</v>
      </c>
      <c r="B702" s="14">
        <v>14</v>
      </c>
      <c r="C702" s="29">
        <v>14</v>
      </c>
      <c r="D702" s="14">
        <v>14</v>
      </c>
      <c r="E702" s="26" t="s">
        <v>36</v>
      </c>
      <c r="F702" s="17" t="s">
        <v>17</v>
      </c>
    </row>
    <row r="703" spans="1:6" ht="15.6" x14ac:dyDescent="0.3">
      <c r="A703" s="75">
        <v>44285</v>
      </c>
      <c r="B703" s="14">
        <v>10</v>
      </c>
      <c r="C703" s="29">
        <v>10</v>
      </c>
      <c r="D703" s="14">
        <v>10</v>
      </c>
      <c r="E703" s="26" t="s">
        <v>36</v>
      </c>
      <c r="F703" s="17" t="s">
        <v>17</v>
      </c>
    </row>
    <row r="704" spans="1:6" ht="15.6" x14ac:dyDescent="0.3">
      <c r="A704" s="10">
        <v>43881</v>
      </c>
      <c r="B704" s="14">
        <v>59</v>
      </c>
      <c r="C704" s="29">
        <v>59</v>
      </c>
      <c r="D704" s="14">
        <v>59</v>
      </c>
      <c r="E704" s="38" t="s">
        <v>37</v>
      </c>
      <c r="F704" s="17" t="s">
        <v>17</v>
      </c>
    </row>
    <row r="705" spans="1:6" ht="15.6" x14ac:dyDescent="0.3">
      <c r="A705" s="10">
        <v>43902</v>
      </c>
      <c r="B705" s="14">
        <v>85</v>
      </c>
      <c r="C705" s="29">
        <v>85</v>
      </c>
      <c r="D705" s="14">
        <v>85</v>
      </c>
      <c r="E705" s="38" t="s">
        <v>37</v>
      </c>
      <c r="F705" s="17" t="s">
        <v>17</v>
      </c>
    </row>
    <row r="706" spans="1:6" ht="15.6" x14ac:dyDescent="0.3">
      <c r="A706" s="10">
        <v>43902</v>
      </c>
      <c r="B706" s="14">
        <v>91</v>
      </c>
      <c r="C706" s="29">
        <v>91</v>
      </c>
      <c r="D706" s="14">
        <v>91</v>
      </c>
      <c r="E706" s="38" t="s">
        <v>37</v>
      </c>
      <c r="F706" s="17" t="s">
        <v>17</v>
      </c>
    </row>
    <row r="707" spans="1:6" ht="15.6" x14ac:dyDescent="0.3">
      <c r="A707" s="10">
        <v>44155</v>
      </c>
      <c r="B707" s="14">
        <v>15</v>
      </c>
      <c r="C707" s="29">
        <v>15</v>
      </c>
      <c r="D707" s="14">
        <v>15</v>
      </c>
      <c r="E707" s="38" t="s">
        <v>37</v>
      </c>
      <c r="F707" s="17" t="s">
        <v>17</v>
      </c>
    </row>
    <row r="708" spans="1:6" ht="15.6" x14ac:dyDescent="0.3">
      <c r="A708" s="10">
        <v>44264</v>
      </c>
      <c r="B708" s="14">
        <v>14</v>
      </c>
      <c r="C708" s="29">
        <v>14</v>
      </c>
      <c r="D708" s="14">
        <v>14</v>
      </c>
      <c r="E708" s="38" t="s">
        <v>37</v>
      </c>
      <c r="F708" s="17" t="s">
        <v>17</v>
      </c>
    </row>
    <row r="709" spans="1:6" ht="15.6" x14ac:dyDescent="0.3">
      <c r="A709" s="10">
        <v>44421</v>
      </c>
      <c r="B709" s="14">
        <v>1</v>
      </c>
      <c r="C709" s="29">
        <v>1</v>
      </c>
      <c r="D709" s="14">
        <v>1</v>
      </c>
      <c r="E709" s="38" t="s">
        <v>37</v>
      </c>
      <c r="F709" s="17" t="s">
        <v>17</v>
      </c>
    </row>
    <row r="710" spans="1:6" ht="15.6" x14ac:dyDescent="0.3">
      <c r="A710" s="76">
        <v>43795</v>
      </c>
      <c r="B710" s="26">
        <v>10</v>
      </c>
      <c r="C710" s="26">
        <v>10</v>
      </c>
      <c r="D710" s="26">
        <v>10</v>
      </c>
      <c r="E710" s="26" t="s">
        <v>38</v>
      </c>
      <c r="F710" s="17" t="s">
        <v>17</v>
      </c>
    </row>
    <row r="711" spans="1:6" ht="15.6" x14ac:dyDescent="0.3">
      <c r="A711" s="76">
        <v>43795</v>
      </c>
      <c r="B711" s="26">
        <v>10</v>
      </c>
      <c r="C711" s="26">
        <v>10</v>
      </c>
      <c r="D711" s="26">
        <v>10</v>
      </c>
      <c r="E711" s="26" t="s">
        <v>38</v>
      </c>
      <c r="F711" s="17" t="s">
        <v>17</v>
      </c>
    </row>
    <row r="712" spans="1:6" ht="15.6" x14ac:dyDescent="0.3">
      <c r="A712" s="76">
        <v>43847</v>
      </c>
      <c r="B712" s="26">
        <v>10</v>
      </c>
      <c r="C712" s="26">
        <v>10</v>
      </c>
      <c r="D712" s="17">
        <v>10</v>
      </c>
      <c r="E712" s="26" t="s">
        <v>38</v>
      </c>
      <c r="F712" s="17" t="s">
        <v>17</v>
      </c>
    </row>
    <row r="713" spans="1:6" ht="15.6" x14ac:dyDescent="0.3">
      <c r="A713" s="76">
        <v>43847</v>
      </c>
      <c r="B713" s="26">
        <v>10</v>
      </c>
      <c r="C713" s="26">
        <v>10</v>
      </c>
      <c r="D713" s="17">
        <v>10</v>
      </c>
      <c r="E713" s="26" t="s">
        <v>38</v>
      </c>
      <c r="F713" s="17" t="s">
        <v>17</v>
      </c>
    </row>
    <row r="714" spans="1:6" ht="15.6" x14ac:dyDescent="0.3">
      <c r="A714" s="76">
        <v>43880</v>
      </c>
      <c r="B714" s="26">
        <v>10</v>
      </c>
      <c r="C714" s="26">
        <v>10</v>
      </c>
      <c r="D714" s="17">
        <v>10</v>
      </c>
      <c r="E714" s="26" t="s">
        <v>38</v>
      </c>
      <c r="F714" s="17" t="s">
        <v>17</v>
      </c>
    </row>
    <row r="715" spans="1:6" ht="15.6" x14ac:dyDescent="0.3">
      <c r="A715" s="76">
        <v>43880</v>
      </c>
      <c r="B715" s="26">
        <v>10</v>
      </c>
      <c r="C715" s="26">
        <v>10</v>
      </c>
      <c r="D715" s="17">
        <v>10</v>
      </c>
      <c r="E715" s="26" t="s">
        <v>38</v>
      </c>
      <c r="F715" s="17" t="s">
        <v>17</v>
      </c>
    </row>
    <row r="716" spans="1:6" ht="15.6" x14ac:dyDescent="0.3">
      <c r="A716" s="76">
        <v>44034</v>
      </c>
      <c r="B716" s="26">
        <v>10</v>
      </c>
      <c r="C716" s="17">
        <v>10</v>
      </c>
      <c r="D716" s="17">
        <v>10</v>
      </c>
      <c r="E716" s="26" t="s">
        <v>38</v>
      </c>
      <c r="F716" s="17" t="s">
        <v>17</v>
      </c>
    </row>
    <row r="717" spans="1:6" ht="15.6" x14ac:dyDescent="0.3">
      <c r="A717" s="76">
        <v>44034</v>
      </c>
      <c r="B717" s="26">
        <v>11</v>
      </c>
      <c r="C717" s="17">
        <v>11</v>
      </c>
      <c r="D717" s="17">
        <v>11</v>
      </c>
      <c r="E717" s="26" t="s">
        <v>38</v>
      </c>
      <c r="F717" s="17" t="s">
        <v>17</v>
      </c>
    </row>
    <row r="718" spans="1:6" ht="15.6" x14ac:dyDescent="0.3">
      <c r="A718" s="76">
        <v>44071</v>
      </c>
      <c r="B718" s="26">
        <v>10</v>
      </c>
      <c r="C718" s="17">
        <v>10</v>
      </c>
      <c r="D718" s="17">
        <v>10</v>
      </c>
      <c r="E718" s="26" t="s">
        <v>38</v>
      </c>
      <c r="F718" s="17" t="s">
        <v>17</v>
      </c>
    </row>
    <row r="719" spans="1:6" ht="15.6" x14ac:dyDescent="0.3">
      <c r="A719" s="76">
        <v>44071</v>
      </c>
      <c r="B719" s="26">
        <v>11</v>
      </c>
      <c r="C719" s="17">
        <v>11</v>
      </c>
      <c r="D719" s="17">
        <v>11</v>
      </c>
      <c r="E719" s="26" t="s">
        <v>38</v>
      </c>
      <c r="F719" s="17" t="s">
        <v>17</v>
      </c>
    </row>
    <row r="720" spans="1:6" ht="15.6" x14ac:dyDescent="0.3">
      <c r="A720" s="76">
        <v>44138</v>
      </c>
      <c r="B720" s="26">
        <v>15</v>
      </c>
      <c r="C720" s="26">
        <v>15</v>
      </c>
      <c r="D720" s="17">
        <v>15</v>
      </c>
      <c r="E720" s="26" t="s">
        <v>38</v>
      </c>
      <c r="F720" s="17" t="s">
        <v>17</v>
      </c>
    </row>
    <row r="721" spans="1:6" ht="15.6" x14ac:dyDescent="0.3">
      <c r="A721" s="76">
        <v>44138</v>
      </c>
      <c r="B721" s="26">
        <v>15</v>
      </c>
      <c r="C721" s="26">
        <v>15</v>
      </c>
      <c r="D721" s="17">
        <v>15</v>
      </c>
      <c r="E721" s="26" t="s">
        <v>38</v>
      </c>
      <c r="F721" s="17" t="s">
        <v>17</v>
      </c>
    </row>
    <row r="722" spans="1:6" x14ac:dyDescent="0.3">
      <c r="A722" s="77">
        <v>44195</v>
      </c>
      <c r="B722" s="17">
        <v>14</v>
      </c>
      <c r="C722" s="17">
        <v>8</v>
      </c>
      <c r="D722" s="17">
        <v>14</v>
      </c>
      <c r="E722" s="26" t="s">
        <v>38</v>
      </c>
      <c r="F722" s="17" t="s">
        <v>17</v>
      </c>
    </row>
    <row r="723" spans="1:6" x14ac:dyDescent="0.3">
      <c r="A723" s="77">
        <v>44195</v>
      </c>
      <c r="B723" s="17">
        <v>12</v>
      </c>
      <c r="C723" s="17">
        <v>4</v>
      </c>
      <c r="D723" s="17">
        <v>12</v>
      </c>
      <c r="E723" s="26" t="s">
        <v>38</v>
      </c>
      <c r="F723" s="17" t="s">
        <v>17</v>
      </c>
    </row>
    <row r="724" spans="1:6" x14ac:dyDescent="0.3">
      <c r="A724" s="77">
        <v>44398</v>
      </c>
      <c r="B724" s="17">
        <v>10</v>
      </c>
      <c r="C724" s="17">
        <v>6</v>
      </c>
      <c r="D724" s="17">
        <v>10</v>
      </c>
      <c r="E724" s="26" t="s">
        <v>38</v>
      </c>
      <c r="F724" s="17" t="s">
        <v>17</v>
      </c>
    </row>
    <row r="725" spans="1:6" x14ac:dyDescent="0.3">
      <c r="A725" s="77">
        <v>44398</v>
      </c>
      <c r="B725" s="17">
        <v>12</v>
      </c>
      <c r="C725" s="17">
        <v>6</v>
      </c>
      <c r="D725" s="17">
        <v>12</v>
      </c>
      <c r="E725" s="26" t="s">
        <v>38</v>
      </c>
      <c r="F725" s="17" t="s">
        <v>17</v>
      </c>
    </row>
    <row r="726" spans="1:6" x14ac:dyDescent="0.3">
      <c r="A726" s="78">
        <v>44775</v>
      </c>
      <c r="B726" s="17">
        <v>11</v>
      </c>
      <c r="C726" s="17">
        <v>9</v>
      </c>
      <c r="D726" s="17">
        <v>11</v>
      </c>
      <c r="E726" s="26" t="s">
        <v>38</v>
      </c>
      <c r="F726" s="17" t="s">
        <v>17</v>
      </c>
    </row>
    <row r="727" spans="1:6" x14ac:dyDescent="0.3">
      <c r="A727" s="78">
        <v>44775</v>
      </c>
      <c r="B727" s="17">
        <v>12</v>
      </c>
      <c r="C727" s="17">
        <v>10</v>
      </c>
      <c r="D727" s="17">
        <v>12</v>
      </c>
      <c r="E727" s="26" t="s">
        <v>38</v>
      </c>
      <c r="F727" s="17" t="s">
        <v>17</v>
      </c>
    </row>
    <row r="728" spans="1:6" x14ac:dyDescent="0.3">
      <c r="A728" s="79">
        <v>45002</v>
      </c>
      <c r="B728" s="39"/>
      <c r="C728" s="39"/>
      <c r="D728" s="39"/>
      <c r="E728" s="26" t="s">
        <v>38</v>
      </c>
      <c r="F728" s="17" t="s">
        <v>17</v>
      </c>
    </row>
    <row r="729" spans="1:6" ht="15.6" x14ac:dyDescent="0.3">
      <c r="A729" s="31">
        <v>43791</v>
      </c>
      <c r="B729" s="32">
        <v>14</v>
      </c>
      <c r="C729" s="32">
        <v>14</v>
      </c>
      <c r="D729" s="32">
        <v>14</v>
      </c>
      <c r="E729" s="26" t="s">
        <v>39</v>
      </c>
      <c r="F729" s="17" t="s">
        <v>17</v>
      </c>
    </row>
    <row r="730" spans="1:6" ht="15.6" x14ac:dyDescent="0.3">
      <c r="A730" s="31">
        <v>43837</v>
      </c>
      <c r="B730" s="32">
        <v>9</v>
      </c>
      <c r="C730" s="32">
        <v>9</v>
      </c>
      <c r="D730" s="26">
        <v>9</v>
      </c>
      <c r="E730" s="26" t="s">
        <v>39</v>
      </c>
      <c r="F730" s="17" t="s">
        <v>17</v>
      </c>
    </row>
    <row r="731" spans="1:6" ht="15.6" x14ac:dyDescent="0.3">
      <c r="A731" s="31">
        <v>43843</v>
      </c>
      <c r="B731" s="32">
        <v>6</v>
      </c>
      <c r="C731" s="32">
        <v>6</v>
      </c>
      <c r="D731" s="32">
        <v>6</v>
      </c>
      <c r="E731" s="26" t="s">
        <v>39</v>
      </c>
      <c r="F731" s="17" t="s">
        <v>17</v>
      </c>
    </row>
    <row r="732" spans="1:6" ht="15.6" x14ac:dyDescent="0.3">
      <c r="A732" s="31">
        <v>43843</v>
      </c>
      <c r="B732" s="32">
        <v>4</v>
      </c>
      <c r="C732" s="32">
        <v>4</v>
      </c>
      <c r="D732" s="32">
        <v>4</v>
      </c>
      <c r="E732" s="26" t="s">
        <v>39</v>
      </c>
      <c r="F732" s="17" t="s">
        <v>17</v>
      </c>
    </row>
    <row r="733" spans="1:6" ht="15.6" x14ac:dyDescent="0.3">
      <c r="A733" s="31">
        <v>43843</v>
      </c>
      <c r="B733" s="32">
        <v>7</v>
      </c>
      <c r="C733" s="32">
        <v>7</v>
      </c>
      <c r="D733" s="32">
        <v>7</v>
      </c>
      <c r="E733" s="26" t="s">
        <v>39</v>
      </c>
      <c r="F733" s="17" t="s">
        <v>17</v>
      </c>
    </row>
    <row r="734" spans="1:6" ht="15.6" x14ac:dyDescent="0.3">
      <c r="A734" s="31">
        <v>43843</v>
      </c>
      <c r="B734" s="32">
        <v>6</v>
      </c>
      <c r="C734" s="32">
        <v>6</v>
      </c>
      <c r="D734" s="32">
        <v>6</v>
      </c>
      <c r="E734" s="26" t="s">
        <v>39</v>
      </c>
      <c r="F734" s="17" t="s">
        <v>17</v>
      </c>
    </row>
    <row r="735" spans="1:6" ht="15.6" x14ac:dyDescent="0.3">
      <c r="A735" s="9">
        <v>43747</v>
      </c>
      <c r="B735" s="11">
        <v>10</v>
      </c>
      <c r="C735" s="11">
        <v>10</v>
      </c>
      <c r="D735" s="11">
        <v>10</v>
      </c>
      <c r="E735" s="40" t="s">
        <v>40</v>
      </c>
      <c r="F735" s="17" t="s">
        <v>17</v>
      </c>
    </row>
    <row r="736" spans="1:6" ht="15.6" x14ac:dyDescent="0.3">
      <c r="A736" s="9">
        <v>43747</v>
      </c>
      <c r="B736" s="11">
        <v>10</v>
      </c>
      <c r="C736" s="11">
        <v>10</v>
      </c>
      <c r="D736" s="11">
        <v>10</v>
      </c>
      <c r="E736" s="40" t="s">
        <v>40</v>
      </c>
      <c r="F736" s="17" t="s">
        <v>17</v>
      </c>
    </row>
    <row r="737" spans="1:6" ht="15.6" x14ac:dyDescent="0.3">
      <c r="A737" s="9">
        <v>43747</v>
      </c>
      <c r="B737" s="11">
        <v>11</v>
      </c>
      <c r="C737" s="11">
        <v>11</v>
      </c>
      <c r="D737" s="11">
        <v>11</v>
      </c>
      <c r="E737" s="40" t="s">
        <v>40</v>
      </c>
      <c r="F737" s="17" t="s">
        <v>17</v>
      </c>
    </row>
    <row r="738" spans="1:6" ht="15.6" x14ac:dyDescent="0.3">
      <c r="A738" s="9">
        <v>43747</v>
      </c>
      <c r="B738" s="11">
        <v>10</v>
      </c>
      <c r="C738" s="11">
        <v>10</v>
      </c>
      <c r="D738" s="11">
        <v>10</v>
      </c>
      <c r="E738" s="40" t="s">
        <v>40</v>
      </c>
      <c r="F738" s="17" t="s">
        <v>17</v>
      </c>
    </row>
    <row r="739" spans="1:6" ht="15.6" x14ac:dyDescent="0.3">
      <c r="A739" s="75">
        <v>43826</v>
      </c>
      <c r="B739" s="11">
        <v>10</v>
      </c>
      <c r="C739" s="11">
        <v>10</v>
      </c>
      <c r="D739" s="11">
        <v>10</v>
      </c>
      <c r="E739" s="40" t="s">
        <v>40</v>
      </c>
      <c r="F739" s="17" t="s">
        <v>17</v>
      </c>
    </row>
    <row r="740" spans="1:6" ht="15.6" x14ac:dyDescent="0.3">
      <c r="A740" s="75">
        <v>43826</v>
      </c>
      <c r="B740" s="11">
        <v>10</v>
      </c>
      <c r="C740" s="11">
        <v>10</v>
      </c>
      <c r="D740" s="11">
        <v>10</v>
      </c>
      <c r="E740" s="40" t="s">
        <v>40</v>
      </c>
      <c r="F740" s="17" t="s">
        <v>17</v>
      </c>
    </row>
    <row r="741" spans="1:6" ht="15.6" x14ac:dyDescent="0.3">
      <c r="A741" s="75">
        <v>43873</v>
      </c>
      <c r="B741" s="11">
        <v>12</v>
      </c>
      <c r="C741" s="12">
        <v>12</v>
      </c>
      <c r="D741" s="12">
        <v>12</v>
      </c>
      <c r="E741" s="40" t="s">
        <v>40</v>
      </c>
      <c r="F741" s="17" t="s">
        <v>17</v>
      </c>
    </row>
    <row r="742" spans="1:6" ht="15.6" x14ac:dyDescent="0.3">
      <c r="A742" s="75">
        <v>43873</v>
      </c>
      <c r="B742" s="11">
        <v>14</v>
      </c>
      <c r="C742" s="12">
        <v>14</v>
      </c>
      <c r="D742" s="12">
        <v>14</v>
      </c>
      <c r="E742" s="40" t="s">
        <v>40</v>
      </c>
      <c r="F742" s="17" t="s">
        <v>17</v>
      </c>
    </row>
    <row r="743" spans="1:6" ht="15.6" x14ac:dyDescent="0.3">
      <c r="A743" s="75">
        <v>43873</v>
      </c>
      <c r="B743" s="11">
        <v>12</v>
      </c>
      <c r="C743" s="12">
        <v>12</v>
      </c>
      <c r="D743" s="12">
        <v>12</v>
      </c>
      <c r="E743" s="40" t="s">
        <v>40</v>
      </c>
      <c r="F743" s="17" t="s">
        <v>17</v>
      </c>
    </row>
    <row r="744" spans="1:6" ht="15.6" x14ac:dyDescent="0.3">
      <c r="A744" s="75">
        <v>43873</v>
      </c>
      <c r="B744" s="11">
        <v>10</v>
      </c>
      <c r="C744" s="12">
        <v>10</v>
      </c>
      <c r="D744" s="12">
        <v>10</v>
      </c>
      <c r="E744" s="40" t="s">
        <v>40</v>
      </c>
      <c r="F744" s="17" t="s">
        <v>17</v>
      </c>
    </row>
    <row r="745" spans="1:6" ht="15.6" x14ac:dyDescent="0.3">
      <c r="A745" s="75">
        <v>43900</v>
      </c>
      <c r="B745" s="11">
        <v>16</v>
      </c>
      <c r="C745" s="11">
        <v>16</v>
      </c>
      <c r="D745" s="11">
        <v>16</v>
      </c>
      <c r="E745" s="40" t="s">
        <v>40</v>
      </c>
      <c r="F745" s="17" t="s">
        <v>17</v>
      </c>
    </row>
    <row r="746" spans="1:6" ht="15.6" x14ac:dyDescent="0.3">
      <c r="A746" s="75">
        <v>43900</v>
      </c>
      <c r="B746" s="11">
        <v>10</v>
      </c>
      <c r="C746" s="11">
        <v>10</v>
      </c>
      <c r="D746" s="11">
        <v>10</v>
      </c>
      <c r="E746" s="40" t="s">
        <v>40</v>
      </c>
      <c r="F746" s="17" t="s">
        <v>17</v>
      </c>
    </row>
    <row r="747" spans="1:6" ht="15.6" x14ac:dyDescent="0.3">
      <c r="A747" s="75">
        <v>43900</v>
      </c>
      <c r="B747" s="12">
        <v>11</v>
      </c>
      <c r="C747" s="12">
        <v>11</v>
      </c>
      <c r="D747" s="12">
        <v>11</v>
      </c>
      <c r="E747" s="40" t="s">
        <v>40</v>
      </c>
      <c r="F747" s="17" t="s">
        <v>17</v>
      </c>
    </row>
    <row r="748" spans="1:6" ht="15.6" x14ac:dyDescent="0.3">
      <c r="A748" s="75">
        <v>43900</v>
      </c>
      <c r="B748" s="12">
        <v>10</v>
      </c>
      <c r="C748" s="12">
        <v>10</v>
      </c>
      <c r="D748" s="12">
        <v>10</v>
      </c>
      <c r="E748" s="40" t="s">
        <v>40</v>
      </c>
      <c r="F748" s="17" t="s">
        <v>17</v>
      </c>
    </row>
    <row r="749" spans="1:6" ht="15.6" x14ac:dyDescent="0.3">
      <c r="A749" s="75">
        <v>44004</v>
      </c>
      <c r="B749" s="12">
        <v>14</v>
      </c>
      <c r="C749" s="12">
        <v>14</v>
      </c>
      <c r="D749" s="12">
        <v>14</v>
      </c>
      <c r="E749" s="40" t="s">
        <v>40</v>
      </c>
      <c r="F749" s="17" t="s">
        <v>17</v>
      </c>
    </row>
    <row r="750" spans="1:6" ht="15.6" x14ac:dyDescent="0.3">
      <c r="A750" s="75">
        <v>44004</v>
      </c>
      <c r="B750" s="12">
        <v>11</v>
      </c>
      <c r="C750" s="12">
        <v>11</v>
      </c>
      <c r="D750" s="12">
        <v>11</v>
      </c>
      <c r="E750" s="40" t="s">
        <v>40</v>
      </c>
      <c r="F750" s="17" t="s">
        <v>17</v>
      </c>
    </row>
    <row r="751" spans="1:6" ht="15.6" x14ac:dyDescent="0.3">
      <c r="A751" s="10">
        <v>43710</v>
      </c>
      <c r="B751" s="11">
        <v>10</v>
      </c>
      <c r="C751" s="11">
        <v>10</v>
      </c>
      <c r="D751" s="11">
        <v>10</v>
      </c>
      <c r="E751" s="26" t="s">
        <v>41</v>
      </c>
      <c r="F751" s="26" t="s">
        <v>17</v>
      </c>
    </row>
    <row r="752" spans="1:6" ht="15.6" x14ac:dyDescent="0.3">
      <c r="A752" s="10">
        <v>44567</v>
      </c>
      <c r="B752" s="11">
        <v>34</v>
      </c>
      <c r="C752" s="11">
        <v>34</v>
      </c>
      <c r="D752" s="11">
        <v>34</v>
      </c>
      <c r="E752" s="26" t="s">
        <v>41</v>
      </c>
      <c r="F752" s="26" t="s">
        <v>17</v>
      </c>
    </row>
    <row r="753" spans="1:6" ht="15.6" x14ac:dyDescent="0.3">
      <c r="A753" s="10">
        <v>44578</v>
      </c>
      <c r="B753" s="11">
        <v>36</v>
      </c>
      <c r="C753" s="11">
        <v>36</v>
      </c>
      <c r="D753" s="11">
        <v>36</v>
      </c>
      <c r="E753" s="26" t="s">
        <v>41</v>
      </c>
      <c r="F753" s="26" t="s">
        <v>17</v>
      </c>
    </row>
    <row r="754" spans="1:6" ht="15.6" x14ac:dyDescent="0.3">
      <c r="A754" s="10">
        <v>44581</v>
      </c>
      <c r="B754" s="11">
        <v>46</v>
      </c>
      <c r="C754" s="11">
        <v>46</v>
      </c>
      <c r="D754" s="11">
        <v>46</v>
      </c>
      <c r="E754" s="26" t="s">
        <v>41</v>
      </c>
      <c r="F754" s="26" t="s">
        <v>17</v>
      </c>
    </row>
    <row r="755" spans="1:6" ht="15.6" x14ac:dyDescent="0.3">
      <c r="A755" s="10">
        <v>44862</v>
      </c>
      <c r="B755" s="11">
        <v>39</v>
      </c>
      <c r="C755" s="11">
        <v>39</v>
      </c>
      <c r="D755" s="11">
        <v>39</v>
      </c>
      <c r="E755" s="26" t="s">
        <v>41</v>
      </c>
      <c r="F755" s="26" t="s">
        <v>17</v>
      </c>
    </row>
    <row r="756" spans="1:6" ht="15.6" x14ac:dyDescent="0.3">
      <c r="A756" s="10">
        <v>43691</v>
      </c>
      <c r="B756" s="29">
        <v>42</v>
      </c>
      <c r="C756" s="29">
        <v>42</v>
      </c>
      <c r="D756" s="29">
        <v>42</v>
      </c>
      <c r="E756" s="26" t="s">
        <v>42</v>
      </c>
      <c r="F756" s="17" t="s">
        <v>17</v>
      </c>
    </row>
    <row r="757" spans="1:6" ht="15.6" x14ac:dyDescent="0.3">
      <c r="A757" s="75">
        <v>43725</v>
      </c>
      <c r="B757" s="42">
        <v>15</v>
      </c>
      <c r="C757" s="42">
        <v>15</v>
      </c>
      <c r="D757" s="42">
        <v>15</v>
      </c>
      <c r="E757" s="26" t="s">
        <v>42</v>
      </c>
      <c r="F757" s="17" t="s">
        <v>17</v>
      </c>
    </row>
    <row r="758" spans="1:6" ht="15.6" x14ac:dyDescent="0.3">
      <c r="A758" s="75">
        <v>43725</v>
      </c>
      <c r="B758" s="42">
        <v>14</v>
      </c>
      <c r="C758" s="42">
        <v>14</v>
      </c>
      <c r="D758" s="42">
        <v>14</v>
      </c>
      <c r="E758" s="26" t="s">
        <v>42</v>
      </c>
      <c r="F758" s="17" t="s">
        <v>17</v>
      </c>
    </row>
    <row r="759" spans="1:6" ht="15.6" x14ac:dyDescent="0.3">
      <c r="A759" s="75">
        <v>43725</v>
      </c>
      <c r="B759" s="42">
        <v>12</v>
      </c>
      <c r="C759" s="42">
        <v>12</v>
      </c>
      <c r="D759" s="42">
        <v>12</v>
      </c>
      <c r="E759" s="26" t="s">
        <v>42</v>
      </c>
      <c r="F759" s="17" t="s">
        <v>17</v>
      </c>
    </row>
    <row r="760" spans="1:6" ht="15.6" x14ac:dyDescent="0.3">
      <c r="A760" s="80">
        <v>43746</v>
      </c>
      <c r="B760" s="42">
        <v>15</v>
      </c>
      <c r="C760" s="42">
        <v>15</v>
      </c>
      <c r="D760" s="42">
        <v>15</v>
      </c>
      <c r="E760" s="26" t="s">
        <v>42</v>
      </c>
      <c r="F760" s="17" t="s">
        <v>17</v>
      </c>
    </row>
    <row r="761" spans="1:6" ht="15.6" x14ac:dyDescent="0.3">
      <c r="A761" s="80">
        <v>43746</v>
      </c>
      <c r="B761" s="42">
        <v>15</v>
      </c>
      <c r="C761" s="42">
        <v>15</v>
      </c>
      <c r="D761" s="42">
        <v>15</v>
      </c>
      <c r="E761" s="26" t="s">
        <v>42</v>
      </c>
      <c r="F761" s="17" t="s">
        <v>17</v>
      </c>
    </row>
    <row r="762" spans="1:6" ht="15.6" x14ac:dyDescent="0.3">
      <c r="A762" s="80">
        <v>43746</v>
      </c>
      <c r="B762" s="42">
        <v>10</v>
      </c>
      <c r="C762" s="42">
        <v>10</v>
      </c>
      <c r="D762" s="42">
        <v>10</v>
      </c>
      <c r="E762" s="26" t="s">
        <v>42</v>
      </c>
      <c r="F762" s="17" t="s">
        <v>17</v>
      </c>
    </row>
    <row r="763" spans="1:6" ht="15.6" x14ac:dyDescent="0.3">
      <c r="A763" s="75">
        <v>43805</v>
      </c>
      <c r="B763" s="29">
        <v>10</v>
      </c>
      <c r="C763" s="29">
        <v>10</v>
      </c>
      <c r="D763" s="29">
        <v>10</v>
      </c>
      <c r="E763" s="26" t="s">
        <v>42</v>
      </c>
      <c r="F763" s="17" t="s">
        <v>17</v>
      </c>
    </row>
    <row r="764" spans="1:6" ht="15.6" x14ac:dyDescent="0.3">
      <c r="A764" s="75">
        <v>43805</v>
      </c>
      <c r="B764" s="29">
        <v>10</v>
      </c>
      <c r="C764" s="29">
        <v>10</v>
      </c>
      <c r="D764" s="29">
        <v>10</v>
      </c>
      <c r="E764" s="26" t="s">
        <v>42</v>
      </c>
      <c r="F764" s="17" t="s">
        <v>17</v>
      </c>
    </row>
    <row r="765" spans="1:6" ht="15.6" x14ac:dyDescent="0.3">
      <c r="A765" s="75">
        <v>43805</v>
      </c>
      <c r="B765" s="29">
        <v>10</v>
      </c>
      <c r="C765" s="29">
        <v>10</v>
      </c>
      <c r="D765" s="29">
        <v>10</v>
      </c>
      <c r="E765" s="26" t="s">
        <v>42</v>
      </c>
      <c r="F765" s="17" t="s">
        <v>17</v>
      </c>
    </row>
    <row r="766" spans="1:6" ht="15.6" x14ac:dyDescent="0.3">
      <c r="A766" s="75">
        <v>43805</v>
      </c>
      <c r="B766" s="29">
        <v>10</v>
      </c>
      <c r="C766" s="29">
        <v>10</v>
      </c>
      <c r="D766" s="29">
        <v>10</v>
      </c>
      <c r="E766" s="26" t="s">
        <v>42</v>
      </c>
      <c r="F766" s="17" t="s">
        <v>17</v>
      </c>
    </row>
    <row r="767" spans="1:6" ht="15.6" x14ac:dyDescent="0.3">
      <c r="A767" s="75">
        <v>43816</v>
      </c>
      <c r="B767" s="29">
        <v>10</v>
      </c>
      <c r="C767" s="29">
        <v>10</v>
      </c>
      <c r="D767" s="29">
        <v>10</v>
      </c>
      <c r="E767" s="26" t="s">
        <v>42</v>
      </c>
      <c r="F767" s="17" t="s">
        <v>17</v>
      </c>
    </row>
    <row r="768" spans="1:6" ht="15.6" x14ac:dyDescent="0.3">
      <c r="A768" s="75">
        <v>43816</v>
      </c>
      <c r="B768" s="30">
        <v>10</v>
      </c>
      <c r="C768" s="30">
        <v>10</v>
      </c>
      <c r="D768" s="30">
        <v>10</v>
      </c>
      <c r="E768" s="26" t="s">
        <v>42</v>
      </c>
      <c r="F768" s="17" t="s">
        <v>17</v>
      </c>
    </row>
    <row r="769" spans="1:6" ht="15.6" x14ac:dyDescent="0.3">
      <c r="A769" s="75">
        <v>43816</v>
      </c>
      <c r="B769" s="30">
        <v>10</v>
      </c>
      <c r="C769" s="30">
        <v>10</v>
      </c>
      <c r="D769" s="30">
        <v>10</v>
      </c>
      <c r="E769" s="26" t="s">
        <v>42</v>
      </c>
      <c r="F769" s="17" t="s">
        <v>17</v>
      </c>
    </row>
    <row r="770" spans="1:6" ht="15.6" x14ac:dyDescent="0.3">
      <c r="A770" s="75">
        <v>43816</v>
      </c>
      <c r="B770" s="30">
        <v>10</v>
      </c>
      <c r="C770" s="30">
        <v>10</v>
      </c>
      <c r="D770" s="30">
        <v>10</v>
      </c>
      <c r="E770" s="26" t="s">
        <v>42</v>
      </c>
      <c r="F770" s="17" t="s">
        <v>17</v>
      </c>
    </row>
    <row r="771" spans="1:6" ht="15.6" x14ac:dyDescent="0.3">
      <c r="A771" s="75">
        <v>43838</v>
      </c>
      <c r="B771" s="29">
        <v>10</v>
      </c>
      <c r="C771" s="29">
        <v>10</v>
      </c>
      <c r="D771" s="29">
        <v>10</v>
      </c>
      <c r="E771" s="26" t="s">
        <v>42</v>
      </c>
      <c r="F771" s="17" t="s">
        <v>17</v>
      </c>
    </row>
    <row r="772" spans="1:6" ht="15.6" x14ac:dyDescent="0.3">
      <c r="A772" s="75">
        <v>43838</v>
      </c>
      <c r="B772" s="30">
        <v>10</v>
      </c>
      <c r="C772" s="30">
        <v>10</v>
      </c>
      <c r="D772" s="30">
        <v>10</v>
      </c>
      <c r="E772" s="26" t="s">
        <v>42</v>
      </c>
      <c r="F772" s="17" t="s">
        <v>17</v>
      </c>
    </row>
    <row r="773" spans="1:6" ht="15.6" x14ac:dyDescent="0.3">
      <c r="A773" s="75">
        <v>43838</v>
      </c>
      <c r="B773" s="30">
        <v>10</v>
      </c>
      <c r="C773" s="30">
        <v>10</v>
      </c>
      <c r="D773" s="30">
        <v>10</v>
      </c>
      <c r="E773" s="26" t="s">
        <v>42</v>
      </c>
      <c r="F773" s="17" t="s">
        <v>17</v>
      </c>
    </row>
    <row r="774" spans="1:6" ht="15.6" x14ac:dyDescent="0.3">
      <c r="A774" s="75">
        <v>43838</v>
      </c>
      <c r="B774" s="30">
        <v>10</v>
      </c>
      <c r="C774" s="30">
        <v>10</v>
      </c>
      <c r="D774" s="30">
        <v>10</v>
      </c>
      <c r="E774" s="26" t="s">
        <v>42</v>
      </c>
      <c r="F774" s="17" t="s">
        <v>17</v>
      </c>
    </row>
    <row r="775" spans="1:6" ht="15.6" x14ac:dyDescent="0.3">
      <c r="A775" s="75">
        <v>43845</v>
      </c>
      <c r="B775" s="29">
        <v>10</v>
      </c>
      <c r="C775" s="29">
        <v>10</v>
      </c>
      <c r="D775" s="29">
        <v>10</v>
      </c>
      <c r="E775" s="26" t="s">
        <v>42</v>
      </c>
      <c r="F775" s="17" t="s">
        <v>17</v>
      </c>
    </row>
    <row r="776" spans="1:6" ht="15.6" x14ac:dyDescent="0.3">
      <c r="A776" s="75">
        <v>43845</v>
      </c>
      <c r="B776" s="30">
        <v>10</v>
      </c>
      <c r="C776" s="30">
        <v>10</v>
      </c>
      <c r="D776" s="30">
        <v>10</v>
      </c>
      <c r="E776" s="26" t="s">
        <v>42</v>
      </c>
      <c r="F776" s="17" t="s">
        <v>17</v>
      </c>
    </row>
    <row r="777" spans="1:6" ht="15.6" x14ac:dyDescent="0.3">
      <c r="A777" s="75">
        <v>43845</v>
      </c>
      <c r="B777" s="30">
        <v>10</v>
      </c>
      <c r="C777" s="30">
        <v>10</v>
      </c>
      <c r="D777" s="30">
        <v>10</v>
      </c>
      <c r="E777" s="26" t="s">
        <v>42</v>
      </c>
      <c r="F777" s="17" t="s">
        <v>17</v>
      </c>
    </row>
    <row r="778" spans="1:6" ht="15.6" x14ac:dyDescent="0.3">
      <c r="A778" s="75">
        <v>43845</v>
      </c>
      <c r="B778" s="30">
        <v>11</v>
      </c>
      <c r="C778" s="30">
        <v>11</v>
      </c>
      <c r="D778" s="30">
        <v>11</v>
      </c>
      <c r="E778" s="26" t="s">
        <v>42</v>
      </c>
      <c r="F778" s="17" t="s">
        <v>17</v>
      </c>
    </row>
    <row r="779" spans="1:6" ht="15.6" x14ac:dyDescent="0.3">
      <c r="A779" s="75">
        <v>43852</v>
      </c>
      <c r="B779" s="30">
        <v>5</v>
      </c>
      <c r="C779" s="30">
        <v>5</v>
      </c>
      <c r="D779" s="30">
        <v>5</v>
      </c>
      <c r="E779" s="26" t="s">
        <v>42</v>
      </c>
      <c r="F779" s="17" t="s">
        <v>17</v>
      </c>
    </row>
    <row r="780" spans="1:6" ht="15.6" x14ac:dyDescent="0.3">
      <c r="A780" s="75">
        <v>43852</v>
      </c>
      <c r="B780" s="30">
        <v>0</v>
      </c>
      <c r="C780" s="30">
        <v>0</v>
      </c>
      <c r="D780" s="30">
        <v>0</v>
      </c>
      <c r="E780" s="26" t="s">
        <v>42</v>
      </c>
      <c r="F780" s="17" t="s">
        <v>17</v>
      </c>
    </row>
    <row r="781" spans="1:6" ht="15.6" x14ac:dyDescent="0.3">
      <c r="A781" s="75">
        <v>43852</v>
      </c>
      <c r="B781" s="30">
        <v>3</v>
      </c>
      <c r="C781" s="30">
        <v>3</v>
      </c>
      <c r="D781" s="30">
        <v>3</v>
      </c>
      <c r="E781" s="26" t="s">
        <v>42</v>
      </c>
      <c r="F781" s="17" t="s">
        <v>17</v>
      </c>
    </row>
    <row r="782" spans="1:6" ht="15.6" x14ac:dyDescent="0.3">
      <c r="A782" s="75">
        <v>43852</v>
      </c>
      <c r="B782" s="30">
        <v>10</v>
      </c>
      <c r="C782" s="30">
        <v>10</v>
      </c>
      <c r="D782" s="30">
        <v>10</v>
      </c>
      <c r="E782" s="26" t="s">
        <v>42</v>
      </c>
      <c r="F782" s="17" t="s">
        <v>17</v>
      </c>
    </row>
    <row r="783" spans="1:6" ht="15.6" x14ac:dyDescent="0.3">
      <c r="A783" s="75">
        <v>43859</v>
      </c>
      <c r="B783" s="30">
        <v>10</v>
      </c>
      <c r="C783" s="30">
        <v>10</v>
      </c>
      <c r="D783" s="30">
        <v>10</v>
      </c>
      <c r="E783" s="26" t="s">
        <v>42</v>
      </c>
      <c r="F783" s="17" t="s">
        <v>17</v>
      </c>
    </row>
    <row r="784" spans="1:6" ht="15.6" x14ac:dyDescent="0.3">
      <c r="A784" s="75">
        <v>43859</v>
      </c>
      <c r="B784" s="30">
        <v>10</v>
      </c>
      <c r="C784" s="30">
        <v>10</v>
      </c>
      <c r="D784" s="30">
        <v>10</v>
      </c>
      <c r="E784" s="26" t="s">
        <v>42</v>
      </c>
      <c r="F784" s="17" t="s">
        <v>17</v>
      </c>
    </row>
    <row r="785" spans="1:6" ht="15.6" x14ac:dyDescent="0.3">
      <c r="A785" s="75">
        <v>43859</v>
      </c>
      <c r="B785" s="30">
        <v>10</v>
      </c>
      <c r="C785" s="30">
        <v>10</v>
      </c>
      <c r="D785" s="30">
        <v>10</v>
      </c>
      <c r="E785" s="26" t="s">
        <v>42</v>
      </c>
      <c r="F785" s="17" t="s">
        <v>17</v>
      </c>
    </row>
    <row r="786" spans="1:6" ht="15.6" x14ac:dyDescent="0.3">
      <c r="A786" s="75">
        <v>43859</v>
      </c>
      <c r="B786" s="30">
        <v>10</v>
      </c>
      <c r="C786" s="30">
        <v>10</v>
      </c>
      <c r="D786" s="30">
        <v>10</v>
      </c>
      <c r="E786" s="26" t="s">
        <v>42</v>
      </c>
      <c r="F786" s="17" t="s">
        <v>17</v>
      </c>
    </row>
    <row r="787" spans="1:6" ht="15.6" x14ac:dyDescent="0.3">
      <c r="A787" s="75">
        <v>43865</v>
      </c>
      <c r="B787" s="30">
        <v>10</v>
      </c>
      <c r="C787" s="30">
        <v>10</v>
      </c>
      <c r="D787" s="30">
        <v>10</v>
      </c>
      <c r="E787" s="26" t="s">
        <v>42</v>
      </c>
      <c r="F787" s="17" t="s">
        <v>17</v>
      </c>
    </row>
    <row r="788" spans="1:6" ht="15.6" x14ac:dyDescent="0.3">
      <c r="A788" s="75">
        <v>43865</v>
      </c>
      <c r="B788" s="30">
        <v>10</v>
      </c>
      <c r="C788" s="30">
        <v>10</v>
      </c>
      <c r="D788" s="30">
        <v>10</v>
      </c>
      <c r="E788" s="26" t="s">
        <v>42</v>
      </c>
      <c r="F788" s="17" t="s">
        <v>17</v>
      </c>
    </row>
    <row r="789" spans="1:6" ht="15.6" x14ac:dyDescent="0.3">
      <c r="A789" s="75">
        <v>43865</v>
      </c>
      <c r="B789" s="30">
        <v>10</v>
      </c>
      <c r="C789" s="30">
        <v>10</v>
      </c>
      <c r="D789" s="30">
        <v>10</v>
      </c>
      <c r="E789" s="26" t="s">
        <v>42</v>
      </c>
      <c r="F789" s="17" t="s">
        <v>17</v>
      </c>
    </row>
    <row r="790" spans="1:6" ht="15.6" x14ac:dyDescent="0.3">
      <c r="A790" s="75">
        <v>43865</v>
      </c>
      <c r="B790" s="30">
        <v>10</v>
      </c>
      <c r="C790" s="30">
        <v>10</v>
      </c>
      <c r="D790" s="30">
        <v>10</v>
      </c>
      <c r="E790" s="26" t="s">
        <v>42</v>
      </c>
      <c r="F790" s="17" t="s">
        <v>17</v>
      </c>
    </row>
    <row r="791" spans="1:6" ht="15.6" x14ac:dyDescent="0.3">
      <c r="A791" s="75">
        <v>43866</v>
      </c>
      <c r="B791" s="30">
        <v>10</v>
      </c>
      <c r="C791" s="30">
        <v>10</v>
      </c>
      <c r="D791" s="30">
        <v>10</v>
      </c>
      <c r="E791" s="26" t="s">
        <v>42</v>
      </c>
      <c r="F791" s="17" t="s">
        <v>17</v>
      </c>
    </row>
    <row r="792" spans="1:6" ht="15.6" x14ac:dyDescent="0.3">
      <c r="A792" s="75">
        <v>43866</v>
      </c>
      <c r="B792" s="30">
        <v>10</v>
      </c>
      <c r="C792" s="30">
        <v>10</v>
      </c>
      <c r="D792" s="30">
        <v>10</v>
      </c>
      <c r="E792" s="26" t="s">
        <v>42</v>
      </c>
      <c r="F792" s="17" t="s">
        <v>17</v>
      </c>
    </row>
    <row r="793" spans="1:6" ht="15.6" x14ac:dyDescent="0.3">
      <c r="A793" s="75">
        <v>43866</v>
      </c>
      <c r="B793" s="30">
        <v>10</v>
      </c>
      <c r="C793" s="30">
        <v>10</v>
      </c>
      <c r="D793" s="30">
        <v>10</v>
      </c>
      <c r="E793" s="26" t="s">
        <v>42</v>
      </c>
      <c r="F793" s="17" t="s">
        <v>17</v>
      </c>
    </row>
    <row r="794" spans="1:6" ht="15.6" x14ac:dyDescent="0.3">
      <c r="A794" s="75">
        <v>43866</v>
      </c>
      <c r="B794" s="30">
        <v>10</v>
      </c>
      <c r="C794" s="30">
        <v>10</v>
      </c>
      <c r="D794" s="30">
        <v>10</v>
      </c>
      <c r="E794" s="26" t="s">
        <v>42</v>
      </c>
      <c r="F794" s="17" t="s">
        <v>17</v>
      </c>
    </row>
    <row r="795" spans="1:6" ht="15.6" x14ac:dyDescent="0.3">
      <c r="A795" s="80">
        <v>43875</v>
      </c>
      <c r="B795" s="30">
        <v>10</v>
      </c>
      <c r="C795" s="30">
        <v>10</v>
      </c>
      <c r="D795" s="30">
        <v>10</v>
      </c>
      <c r="E795" s="26" t="s">
        <v>42</v>
      </c>
      <c r="F795" s="17" t="s">
        <v>17</v>
      </c>
    </row>
    <row r="796" spans="1:6" ht="15.6" x14ac:dyDescent="0.3">
      <c r="A796" s="80">
        <v>43875</v>
      </c>
      <c r="B796" s="30">
        <v>10</v>
      </c>
      <c r="C796" s="30">
        <v>10</v>
      </c>
      <c r="D796" s="30">
        <v>10</v>
      </c>
      <c r="E796" s="26" t="s">
        <v>42</v>
      </c>
      <c r="F796" s="17" t="s">
        <v>17</v>
      </c>
    </row>
    <row r="797" spans="1:6" ht="15.6" x14ac:dyDescent="0.3">
      <c r="A797" s="80">
        <v>43875</v>
      </c>
      <c r="B797" s="30">
        <v>10</v>
      </c>
      <c r="C797" s="30">
        <v>10</v>
      </c>
      <c r="D797" s="30">
        <v>10</v>
      </c>
      <c r="E797" s="26" t="s">
        <v>42</v>
      </c>
      <c r="F797" s="17" t="s">
        <v>17</v>
      </c>
    </row>
    <row r="798" spans="1:6" ht="15.6" x14ac:dyDescent="0.3">
      <c r="A798" s="80">
        <v>43875</v>
      </c>
      <c r="B798" s="30">
        <v>10</v>
      </c>
      <c r="C798" s="30">
        <v>10</v>
      </c>
      <c r="D798" s="30">
        <v>10</v>
      </c>
      <c r="E798" s="26" t="s">
        <v>42</v>
      </c>
      <c r="F798" s="17" t="s">
        <v>17</v>
      </c>
    </row>
    <row r="799" spans="1:6" ht="15.6" x14ac:dyDescent="0.3">
      <c r="A799" s="80">
        <v>43882</v>
      </c>
      <c r="B799" s="30">
        <v>10</v>
      </c>
      <c r="C799" s="30">
        <v>10</v>
      </c>
      <c r="D799" s="30">
        <v>10</v>
      </c>
      <c r="E799" s="26" t="s">
        <v>42</v>
      </c>
      <c r="F799" s="17" t="s">
        <v>17</v>
      </c>
    </row>
    <row r="800" spans="1:6" ht="15.6" x14ac:dyDescent="0.3">
      <c r="A800" s="80">
        <v>43882</v>
      </c>
      <c r="B800" s="30">
        <v>10</v>
      </c>
      <c r="C800" s="30">
        <v>10</v>
      </c>
      <c r="D800" s="30">
        <v>10</v>
      </c>
      <c r="E800" s="26" t="s">
        <v>42</v>
      </c>
      <c r="F800" s="17" t="s">
        <v>17</v>
      </c>
    </row>
    <row r="801" spans="1:6" ht="15.6" x14ac:dyDescent="0.3">
      <c r="A801" s="80">
        <v>43882</v>
      </c>
      <c r="B801" s="30">
        <v>10</v>
      </c>
      <c r="C801" s="30">
        <v>10</v>
      </c>
      <c r="D801" s="30">
        <v>10</v>
      </c>
      <c r="E801" s="26" t="s">
        <v>42</v>
      </c>
      <c r="F801" s="17" t="s">
        <v>17</v>
      </c>
    </row>
    <row r="802" spans="1:6" ht="15.6" x14ac:dyDescent="0.3">
      <c r="A802" s="80">
        <v>43882</v>
      </c>
      <c r="B802" s="30">
        <v>10</v>
      </c>
      <c r="C802" s="30">
        <v>10</v>
      </c>
      <c r="D802" s="30">
        <v>10</v>
      </c>
      <c r="E802" s="26" t="s">
        <v>42</v>
      </c>
      <c r="F802" s="17" t="s">
        <v>17</v>
      </c>
    </row>
    <row r="803" spans="1:6" ht="15.6" x14ac:dyDescent="0.3">
      <c r="A803" s="80">
        <v>43889</v>
      </c>
      <c r="B803" s="30">
        <v>15</v>
      </c>
      <c r="C803" s="30">
        <v>15</v>
      </c>
      <c r="D803" s="30">
        <v>15</v>
      </c>
      <c r="E803" s="26" t="s">
        <v>42</v>
      </c>
      <c r="F803" s="17" t="s">
        <v>17</v>
      </c>
    </row>
    <row r="804" spans="1:6" ht="15.6" x14ac:dyDescent="0.3">
      <c r="A804" s="80">
        <v>43889</v>
      </c>
      <c r="B804" s="30">
        <v>15</v>
      </c>
      <c r="C804" s="30">
        <v>15</v>
      </c>
      <c r="D804" s="30">
        <v>15</v>
      </c>
      <c r="E804" s="26" t="s">
        <v>42</v>
      </c>
      <c r="F804" s="17" t="s">
        <v>17</v>
      </c>
    </row>
    <row r="805" spans="1:6" ht="15.6" x14ac:dyDescent="0.3">
      <c r="A805" s="80">
        <v>43889</v>
      </c>
      <c r="B805" s="30">
        <v>15</v>
      </c>
      <c r="C805" s="30">
        <v>15</v>
      </c>
      <c r="D805" s="30">
        <v>15</v>
      </c>
      <c r="E805" s="26" t="s">
        <v>42</v>
      </c>
      <c r="F805" s="17" t="s">
        <v>17</v>
      </c>
    </row>
    <row r="806" spans="1:6" ht="15.6" x14ac:dyDescent="0.3">
      <c r="A806" s="80">
        <v>43889</v>
      </c>
      <c r="B806" s="30">
        <v>15</v>
      </c>
      <c r="C806" s="30">
        <v>15</v>
      </c>
      <c r="D806" s="30">
        <v>15</v>
      </c>
      <c r="E806" s="26" t="s">
        <v>42</v>
      </c>
      <c r="F806" s="17" t="s">
        <v>17</v>
      </c>
    </row>
    <row r="807" spans="1:6" ht="15.6" x14ac:dyDescent="0.3">
      <c r="A807" s="80">
        <v>43896</v>
      </c>
      <c r="B807" s="30">
        <v>15</v>
      </c>
      <c r="C807" s="30">
        <v>15</v>
      </c>
      <c r="D807" s="30">
        <v>15</v>
      </c>
      <c r="E807" s="26" t="s">
        <v>42</v>
      </c>
      <c r="F807" s="17" t="s">
        <v>17</v>
      </c>
    </row>
    <row r="808" spans="1:6" ht="15.6" x14ac:dyDescent="0.3">
      <c r="A808" s="80">
        <v>43896</v>
      </c>
      <c r="B808" s="30">
        <v>15</v>
      </c>
      <c r="C808" s="30">
        <v>15</v>
      </c>
      <c r="D808" s="30">
        <v>15</v>
      </c>
      <c r="E808" s="26" t="s">
        <v>42</v>
      </c>
      <c r="F808" s="17" t="s">
        <v>17</v>
      </c>
    </row>
    <row r="809" spans="1:6" ht="15.6" x14ac:dyDescent="0.3">
      <c r="A809" s="80">
        <v>43896</v>
      </c>
      <c r="B809" s="30">
        <v>12</v>
      </c>
      <c r="C809" s="30">
        <v>12</v>
      </c>
      <c r="D809" s="30">
        <v>12</v>
      </c>
      <c r="E809" s="26" t="s">
        <v>42</v>
      </c>
      <c r="F809" s="17" t="s">
        <v>17</v>
      </c>
    </row>
    <row r="810" spans="1:6" ht="15.6" x14ac:dyDescent="0.3">
      <c r="A810" s="80">
        <v>43896</v>
      </c>
      <c r="B810" s="30">
        <v>12</v>
      </c>
      <c r="C810" s="30">
        <v>12</v>
      </c>
      <c r="D810" s="30">
        <v>12</v>
      </c>
      <c r="E810" s="26" t="s">
        <v>42</v>
      </c>
      <c r="F810" s="17" t="s">
        <v>17</v>
      </c>
    </row>
    <row r="811" spans="1:6" ht="15.6" x14ac:dyDescent="0.3">
      <c r="A811" s="80">
        <v>43902</v>
      </c>
      <c r="B811" s="30">
        <v>12</v>
      </c>
      <c r="C811" s="30">
        <v>12</v>
      </c>
      <c r="D811" s="30">
        <v>12</v>
      </c>
      <c r="E811" s="26" t="s">
        <v>42</v>
      </c>
      <c r="F811" s="17" t="s">
        <v>17</v>
      </c>
    </row>
    <row r="812" spans="1:6" ht="15.6" x14ac:dyDescent="0.3">
      <c r="A812" s="80">
        <v>43902</v>
      </c>
      <c r="B812" s="30">
        <v>12</v>
      </c>
      <c r="C812" s="30">
        <v>12</v>
      </c>
      <c r="D812" s="30">
        <v>12</v>
      </c>
      <c r="E812" s="26" t="s">
        <v>42</v>
      </c>
      <c r="F812" s="17" t="s">
        <v>17</v>
      </c>
    </row>
    <row r="813" spans="1:6" ht="15.6" x14ac:dyDescent="0.3">
      <c r="A813" s="80">
        <v>43902</v>
      </c>
      <c r="B813" s="30">
        <v>12</v>
      </c>
      <c r="C813" s="30">
        <v>12</v>
      </c>
      <c r="D813" s="30">
        <v>12</v>
      </c>
      <c r="E813" s="26" t="s">
        <v>42</v>
      </c>
      <c r="F813" s="17" t="s">
        <v>17</v>
      </c>
    </row>
    <row r="814" spans="1:6" ht="15.6" x14ac:dyDescent="0.3">
      <c r="A814" s="80">
        <v>43902</v>
      </c>
      <c r="B814" s="30">
        <v>12</v>
      </c>
      <c r="C814" s="30">
        <v>12</v>
      </c>
      <c r="D814" s="30">
        <v>12</v>
      </c>
      <c r="E814" s="26" t="s">
        <v>42</v>
      </c>
      <c r="F814" s="17" t="s">
        <v>17</v>
      </c>
    </row>
    <row r="815" spans="1:6" ht="15.6" x14ac:dyDescent="0.3">
      <c r="A815" s="80">
        <v>43910</v>
      </c>
      <c r="B815" s="30">
        <v>12</v>
      </c>
      <c r="C815" s="30">
        <v>12</v>
      </c>
      <c r="D815" s="30">
        <v>12</v>
      </c>
      <c r="E815" s="26" t="s">
        <v>42</v>
      </c>
      <c r="F815" s="17" t="s">
        <v>17</v>
      </c>
    </row>
    <row r="816" spans="1:6" ht="15.6" x14ac:dyDescent="0.3">
      <c r="A816" s="80">
        <v>43910</v>
      </c>
      <c r="B816" s="30">
        <v>15</v>
      </c>
      <c r="C816" s="30">
        <v>15</v>
      </c>
      <c r="D816" s="30">
        <v>15</v>
      </c>
      <c r="E816" s="26" t="s">
        <v>42</v>
      </c>
      <c r="F816" s="17" t="s">
        <v>17</v>
      </c>
    </row>
    <row r="817" spans="1:6" ht="15.6" x14ac:dyDescent="0.3">
      <c r="A817" s="80">
        <v>43910</v>
      </c>
      <c r="B817" s="30">
        <v>15</v>
      </c>
      <c r="C817" s="30">
        <v>15</v>
      </c>
      <c r="D817" s="30">
        <v>15</v>
      </c>
      <c r="E817" s="26" t="s">
        <v>42</v>
      </c>
      <c r="F817" s="17" t="s">
        <v>17</v>
      </c>
    </row>
    <row r="818" spans="1:6" ht="15.6" x14ac:dyDescent="0.3">
      <c r="A818" s="80">
        <v>43910</v>
      </c>
      <c r="B818" s="30">
        <v>15</v>
      </c>
      <c r="C818" s="30">
        <v>15</v>
      </c>
      <c r="D818" s="30">
        <v>15</v>
      </c>
      <c r="E818" s="26" t="s">
        <v>42</v>
      </c>
      <c r="F818" s="17" t="s">
        <v>17</v>
      </c>
    </row>
    <row r="819" spans="1:6" ht="15.6" x14ac:dyDescent="0.3">
      <c r="A819" s="80">
        <v>43921</v>
      </c>
      <c r="B819" s="30">
        <v>15</v>
      </c>
      <c r="C819" s="30">
        <v>15</v>
      </c>
      <c r="D819" s="30">
        <v>15</v>
      </c>
      <c r="E819" s="26" t="s">
        <v>42</v>
      </c>
      <c r="F819" s="17" t="s">
        <v>17</v>
      </c>
    </row>
    <row r="820" spans="1:6" ht="15.6" x14ac:dyDescent="0.3">
      <c r="A820" s="80">
        <v>43921</v>
      </c>
      <c r="B820" s="30">
        <v>15</v>
      </c>
      <c r="C820" s="30">
        <v>15</v>
      </c>
      <c r="D820" s="30">
        <v>15</v>
      </c>
      <c r="E820" s="26" t="s">
        <v>42</v>
      </c>
      <c r="F820" s="17" t="s">
        <v>17</v>
      </c>
    </row>
    <row r="821" spans="1:6" ht="15.6" x14ac:dyDescent="0.3">
      <c r="A821" s="80">
        <v>43921</v>
      </c>
      <c r="B821" s="30">
        <v>16</v>
      </c>
      <c r="C821" s="30">
        <v>16</v>
      </c>
      <c r="D821" s="30">
        <v>16</v>
      </c>
      <c r="E821" s="26" t="s">
        <v>42</v>
      </c>
      <c r="F821" s="17" t="s">
        <v>17</v>
      </c>
    </row>
    <row r="822" spans="1:6" ht="15.6" x14ac:dyDescent="0.3">
      <c r="A822" s="80">
        <v>43921</v>
      </c>
      <c r="B822" s="30">
        <v>15</v>
      </c>
      <c r="C822" s="30">
        <v>15</v>
      </c>
      <c r="D822" s="30">
        <v>15</v>
      </c>
      <c r="E822" s="26" t="s">
        <v>42</v>
      </c>
      <c r="F822" s="17" t="s">
        <v>17</v>
      </c>
    </row>
    <row r="823" spans="1:6" ht="15.6" x14ac:dyDescent="0.3">
      <c r="A823" s="80">
        <v>43987</v>
      </c>
      <c r="B823" s="30">
        <v>15</v>
      </c>
      <c r="C823" s="30">
        <v>15</v>
      </c>
      <c r="D823" s="30">
        <v>15</v>
      </c>
      <c r="E823" s="26" t="s">
        <v>42</v>
      </c>
      <c r="F823" s="17" t="s">
        <v>17</v>
      </c>
    </row>
    <row r="824" spans="1:6" ht="15.6" x14ac:dyDescent="0.3">
      <c r="A824" s="80">
        <v>43987</v>
      </c>
      <c r="B824" s="30">
        <v>15</v>
      </c>
      <c r="C824" s="30">
        <v>15</v>
      </c>
      <c r="D824" s="30">
        <v>15</v>
      </c>
      <c r="E824" s="26" t="s">
        <v>42</v>
      </c>
      <c r="F824" s="17" t="s">
        <v>17</v>
      </c>
    </row>
    <row r="825" spans="1:6" ht="15.6" x14ac:dyDescent="0.3">
      <c r="A825" s="80">
        <v>43987</v>
      </c>
      <c r="B825" s="30">
        <v>15</v>
      </c>
      <c r="C825" s="30">
        <v>15</v>
      </c>
      <c r="D825" s="30">
        <v>15</v>
      </c>
      <c r="E825" s="26" t="s">
        <v>42</v>
      </c>
      <c r="F825" s="17" t="s">
        <v>17</v>
      </c>
    </row>
    <row r="826" spans="1:6" ht="15.6" x14ac:dyDescent="0.3">
      <c r="A826" s="80">
        <v>43987</v>
      </c>
      <c r="B826" s="30">
        <v>15</v>
      </c>
      <c r="C826" s="30">
        <v>15</v>
      </c>
      <c r="D826" s="30">
        <v>15</v>
      </c>
      <c r="E826" s="26" t="s">
        <v>42</v>
      </c>
      <c r="F826" s="17" t="s">
        <v>17</v>
      </c>
    </row>
    <row r="827" spans="1:6" ht="15.6" x14ac:dyDescent="0.3">
      <c r="A827" s="80">
        <v>44012</v>
      </c>
      <c r="B827" s="30">
        <v>17</v>
      </c>
      <c r="C827" s="30">
        <v>17</v>
      </c>
      <c r="D827" s="30">
        <v>17</v>
      </c>
      <c r="E827" s="26" t="s">
        <v>42</v>
      </c>
      <c r="F827" s="17" t="s">
        <v>17</v>
      </c>
    </row>
    <row r="828" spans="1:6" ht="15.6" x14ac:dyDescent="0.3">
      <c r="A828" s="80">
        <v>44012</v>
      </c>
      <c r="B828" s="30">
        <v>18</v>
      </c>
      <c r="C828" s="30">
        <v>18</v>
      </c>
      <c r="D828" s="30">
        <v>18</v>
      </c>
      <c r="E828" s="26" t="s">
        <v>42</v>
      </c>
      <c r="F828" s="17" t="s">
        <v>17</v>
      </c>
    </row>
    <row r="829" spans="1:6" ht="15.6" x14ac:dyDescent="0.3">
      <c r="A829" s="80">
        <v>44012</v>
      </c>
      <c r="B829" s="30">
        <v>17</v>
      </c>
      <c r="C829" s="30">
        <v>17</v>
      </c>
      <c r="D829" s="30">
        <v>17</v>
      </c>
      <c r="E829" s="26" t="s">
        <v>42</v>
      </c>
      <c r="F829" s="17" t="s">
        <v>17</v>
      </c>
    </row>
    <row r="830" spans="1:6" ht="15.6" x14ac:dyDescent="0.3">
      <c r="A830" s="80">
        <v>44012</v>
      </c>
      <c r="B830" s="30">
        <v>16</v>
      </c>
      <c r="C830" s="30">
        <v>16</v>
      </c>
      <c r="D830" s="30">
        <v>16</v>
      </c>
      <c r="E830" s="26" t="s">
        <v>42</v>
      </c>
      <c r="F830" s="17" t="s">
        <v>17</v>
      </c>
    </row>
    <row r="831" spans="1:6" ht="15.6" x14ac:dyDescent="0.3">
      <c r="A831" s="43">
        <v>44264</v>
      </c>
      <c r="B831" s="29">
        <v>4</v>
      </c>
      <c r="C831" s="29">
        <v>4</v>
      </c>
      <c r="D831" s="29">
        <v>4</v>
      </c>
      <c r="E831" s="26" t="s">
        <v>42</v>
      </c>
      <c r="F831" s="17" t="s">
        <v>17</v>
      </c>
    </row>
    <row r="832" spans="1:6" ht="15.6" x14ac:dyDescent="0.3">
      <c r="A832" s="44">
        <v>44530</v>
      </c>
      <c r="B832" s="29">
        <v>13</v>
      </c>
      <c r="C832" s="29">
        <v>13</v>
      </c>
      <c r="D832" s="29">
        <v>13</v>
      </c>
      <c r="E832" s="26" t="s">
        <v>42</v>
      </c>
      <c r="F832" s="17" t="s">
        <v>17</v>
      </c>
    </row>
    <row r="833" spans="1:6" ht="15.6" x14ac:dyDescent="0.3">
      <c r="A833" s="75">
        <v>43669</v>
      </c>
      <c r="B833" s="29">
        <v>49</v>
      </c>
      <c r="C833" s="29">
        <v>49</v>
      </c>
      <c r="D833" s="29">
        <v>49</v>
      </c>
      <c r="E833" s="26" t="s">
        <v>43</v>
      </c>
      <c r="F833" t="s">
        <v>22</v>
      </c>
    </row>
    <row r="834" spans="1:6" ht="15.6" x14ac:dyDescent="0.3">
      <c r="A834" s="9">
        <v>43707</v>
      </c>
      <c r="B834" s="34">
        <v>65</v>
      </c>
      <c r="C834" s="34">
        <v>65</v>
      </c>
      <c r="D834" s="34">
        <v>65</v>
      </c>
      <c r="E834" s="26" t="s">
        <v>43</v>
      </c>
      <c r="F834" t="s">
        <v>22</v>
      </c>
    </row>
    <row r="835" spans="1:6" ht="15.6" x14ac:dyDescent="0.3">
      <c r="A835" s="9">
        <v>43787</v>
      </c>
      <c r="B835" s="34">
        <v>69</v>
      </c>
      <c r="C835" s="34">
        <v>69</v>
      </c>
      <c r="D835" s="34">
        <v>69</v>
      </c>
      <c r="E835" s="26" t="s">
        <v>43</v>
      </c>
      <c r="F835" t="s">
        <v>22</v>
      </c>
    </row>
    <row r="836" spans="1:6" ht="15.6" x14ac:dyDescent="0.3">
      <c r="A836" s="9">
        <v>43873</v>
      </c>
      <c r="B836" s="29">
        <v>13</v>
      </c>
      <c r="C836" s="29">
        <v>13</v>
      </c>
      <c r="D836" s="29">
        <v>13</v>
      </c>
      <c r="E836" s="26" t="s">
        <v>43</v>
      </c>
      <c r="F836" t="s">
        <v>22</v>
      </c>
    </row>
    <row r="837" spans="1:6" ht="15.6" x14ac:dyDescent="0.3">
      <c r="A837" s="9">
        <v>43873</v>
      </c>
      <c r="B837" s="29">
        <v>14</v>
      </c>
      <c r="C837" s="29">
        <v>14</v>
      </c>
      <c r="D837" s="29">
        <v>14</v>
      </c>
      <c r="E837" s="26" t="s">
        <v>43</v>
      </c>
      <c r="F837" t="s">
        <v>22</v>
      </c>
    </row>
    <row r="838" spans="1:6" ht="15.6" x14ac:dyDescent="0.3">
      <c r="A838" s="9">
        <v>43873</v>
      </c>
      <c r="B838" s="29">
        <v>9</v>
      </c>
      <c r="C838" s="29">
        <v>9</v>
      </c>
      <c r="D838" s="29">
        <v>9</v>
      </c>
      <c r="E838" s="26" t="s">
        <v>43</v>
      </c>
      <c r="F838" t="s">
        <v>22</v>
      </c>
    </row>
    <row r="839" spans="1:6" ht="15.6" x14ac:dyDescent="0.3">
      <c r="A839" s="9">
        <v>43873</v>
      </c>
      <c r="B839" s="29">
        <v>18</v>
      </c>
      <c r="C839" s="29">
        <v>18</v>
      </c>
      <c r="D839" s="29">
        <v>18</v>
      </c>
      <c r="E839" s="26" t="s">
        <v>43</v>
      </c>
      <c r="F839" t="s">
        <v>22</v>
      </c>
    </row>
    <row r="840" spans="1:6" ht="15.6" x14ac:dyDescent="0.3">
      <c r="A840" s="9">
        <v>43873</v>
      </c>
      <c r="B840" s="29">
        <v>8</v>
      </c>
      <c r="C840" s="29">
        <v>8</v>
      </c>
      <c r="D840" s="29">
        <v>8</v>
      </c>
      <c r="E840" s="26" t="s">
        <v>43</v>
      </c>
      <c r="F840" t="s">
        <v>22</v>
      </c>
    </row>
    <row r="841" spans="1:6" ht="15.6" x14ac:dyDescent="0.3">
      <c r="A841" s="81">
        <v>43902</v>
      </c>
      <c r="B841" s="29">
        <v>14</v>
      </c>
      <c r="C841" s="29">
        <v>14</v>
      </c>
      <c r="D841" s="29">
        <v>14</v>
      </c>
      <c r="E841" s="26" t="s">
        <v>43</v>
      </c>
      <c r="F841" t="s">
        <v>22</v>
      </c>
    </row>
    <row r="842" spans="1:6" ht="15.6" x14ac:dyDescent="0.3">
      <c r="A842" s="81">
        <v>43902</v>
      </c>
      <c r="B842" s="29">
        <v>12</v>
      </c>
      <c r="C842" s="29">
        <v>12</v>
      </c>
      <c r="D842" s="29">
        <v>12</v>
      </c>
      <c r="E842" s="26" t="s">
        <v>43</v>
      </c>
      <c r="F842" t="s">
        <v>22</v>
      </c>
    </row>
    <row r="843" spans="1:6" ht="15.6" x14ac:dyDescent="0.3">
      <c r="A843" s="81">
        <v>43902</v>
      </c>
      <c r="B843" s="29">
        <v>12</v>
      </c>
      <c r="C843" s="29">
        <v>12</v>
      </c>
      <c r="D843" s="29">
        <v>12</v>
      </c>
      <c r="E843" s="26" t="s">
        <v>43</v>
      </c>
      <c r="F843" t="s">
        <v>22</v>
      </c>
    </row>
    <row r="844" spans="1:6" ht="15.6" x14ac:dyDescent="0.3">
      <c r="A844" s="81">
        <v>43902</v>
      </c>
      <c r="B844" s="29">
        <v>14</v>
      </c>
      <c r="C844" s="29">
        <v>14</v>
      </c>
      <c r="D844" s="29">
        <v>14</v>
      </c>
      <c r="E844" s="26" t="s">
        <v>43</v>
      </c>
      <c r="F844" t="s">
        <v>22</v>
      </c>
    </row>
    <row r="845" spans="1:6" ht="15.6" x14ac:dyDescent="0.3">
      <c r="A845" s="81">
        <v>43902</v>
      </c>
      <c r="B845" s="29">
        <v>11</v>
      </c>
      <c r="C845" s="29">
        <v>11</v>
      </c>
      <c r="D845" s="29">
        <v>11</v>
      </c>
      <c r="E845" s="26" t="s">
        <v>43</v>
      </c>
      <c r="F845" t="s">
        <v>22</v>
      </c>
    </row>
    <row r="846" spans="1:6" ht="15.6" x14ac:dyDescent="0.3">
      <c r="A846" s="81">
        <v>43923</v>
      </c>
      <c r="B846" s="29">
        <v>13</v>
      </c>
      <c r="C846" s="29">
        <v>13</v>
      </c>
      <c r="D846" s="29">
        <v>13</v>
      </c>
      <c r="E846" s="26" t="s">
        <v>43</v>
      </c>
      <c r="F846" t="s">
        <v>22</v>
      </c>
    </row>
    <row r="847" spans="1:6" ht="15.6" x14ac:dyDescent="0.3">
      <c r="A847" s="81">
        <v>43923</v>
      </c>
      <c r="B847" s="29">
        <v>12</v>
      </c>
      <c r="C847" s="29">
        <v>12</v>
      </c>
      <c r="D847" s="29">
        <v>12</v>
      </c>
      <c r="E847" s="26" t="s">
        <v>43</v>
      </c>
      <c r="F847" t="s">
        <v>22</v>
      </c>
    </row>
    <row r="848" spans="1:6" ht="15.6" x14ac:dyDescent="0.3">
      <c r="A848" s="81">
        <v>43923</v>
      </c>
      <c r="B848" s="29">
        <v>13</v>
      </c>
      <c r="C848" s="29">
        <v>13</v>
      </c>
      <c r="D848" s="29">
        <v>13</v>
      </c>
      <c r="E848" s="26" t="s">
        <v>43</v>
      </c>
      <c r="F848" t="s">
        <v>22</v>
      </c>
    </row>
    <row r="849" spans="1:6" ht="15.6" x14ac:dyDescent="0.3">
      <c r="A849" s="81">
        <v>43999</v>
      </c>
      <c r="B849" s="29">
        <v>12</v>
      </c>
      <c r="C849" s="29">
        <v>12</v>
      </c>
      <c r="D849" s="29">
        <v>12</v>
      </c>
      <c r="E849" s="26" t="s">
        <v>43</v>
      </c>
      <c r="F849" t="s">
        <v>22</v>
      </c>
    </row>
    <row r="850" spans="1:6" ht="15.6" x14ac:dyDescent="0.3">
      <c r="A850" s="81">
        <v>43999</v>
      </c>
      <c r="B850" s="29">
        <v>11</v>
      </c>
      <c r="C850" s="29">
        <v>11</v>
      </c>
      <c r="D850" s="29">
        <v>11</v>
      </c>
      <c r="E850" s="26" t="s">
        <v>43</v>
      </c>
      <c r="F850" t="s">
        <v>22</v>
      </c>
    </row>
    <row r="851" spans="1:6" ht="15.6" x14ac:dyDescent="0.3">
      <c r="A851" s="81">
        <v>43999</v>
      </c>
      <c r="B851" s="29">
        <v>11</v>
      </c>
      <c r="C851" s="29">
        <v>11</v>
      </c>
      <c r="D851" s="29">
        <v>11</v>
      </c>
      <c r="E851" s="26" t="s">
        <v>43</v>
      </c>
      <c r="F851" t="s">
        <v>22</v>
      </c>
    </row>
    <row r="852" spans="1:6" ht="15.6" x14ac:dyDescent="0.3">
      <c r="A852" s="81">
        <v>43999</v>
      </c>
      <c r="B852" s="29">
        <v>10</v>
      </c>
      <c r="C852" s="29">
        <v>10</v>
      </c>
      <c r="D852" s="29">
        <v>10</v>
      </c>
      <c r="E852" s="26" t="s">
        <v>43</v>
      </c>
      <c r="F852" t="s">
        <v>22</v>
      </c>
    </row>
    <row r="853" spans="1:6" ht="15.6" x14ac:dyDescent="0.3">
      <c r="A853" s="81">
        <v>43999</v>
      </c>
      <c r="B853" s="29">
        <v>11</v>
      </c>
      <c r="C853" s="29">
        <v>11</v>
      </c>
      <c r="D853" s="29">
        <v>11</v>
      </c>
      <c r="E853" s="26" t="s">
        <v>43</v>
      </c>
      <c r="F853" t="s">
        <v>22</v>
      </c>
    </row>
    <row r="854" spans="1:6" ht="15.6" x14ac:dyDescent="0.3">
      <c r="A854" s="81">
        <v>44005</v>
      </c>
      <c r="B854" s="29">
        <v>14</v>
      </c>
      <c r="C854" s="29">
        <v>14</v>
      </c>
      <c r="D854" s="29">
        <v>14</v>
      </c>
      <c r="E854" s="26" t="s">
        <v>43</v>
      </c>
      <c r="F854" t="s">
        <v>22</v>
      </c>
    </row>
    <row r="855" spans="1:6" ht="15.6" x14ac:dyDescent="0.3">
      <c r="A855" s="81">
        <v>44005</v>
      </c>
      <c r="B855" s="29">
        <v>13</v>
      </c>
      <c r="C855" s="29">
        <v>13</v>
      </c>
      <c r="D855" s="29">
        <v>13</v>
      </c>
      <c r="E855" s="26" t="s">
        <v>43</v>
      </c>
      <c r="F855" t="s">
        <v>22</v>
      </c>
    </row>
    <row r="856" spans="1:6" ht="15.6" x14ac:dyDescent="0.3">
      <c r="A856" s="81">
        <v>44005</v>
      </c>
      <c r="B856" s="29">
        <v>13</v>
      </c>
      <c r="C856" s="29">
        <v>13</v>
      </c>
      <c r="D856" s="29">
        <v>13</v>
      </c>
      <c r="E856" s="26" t="s">
        <v>43</v>
      </c>
      <c r="F856" t="s">
        <v>22</v>
      </c>
    </row>
    <row r="857" spans="1:6" ht="15.6" x14ac:dyDescent="0.3">
      <c r="A857" s="81">
        <v>44005</v>
      </c>
      <c r="B857" s="29">
        <v>13</v>
      </c>
      <c r="C857" s="29">
        <v>13</v>
      </c>
      <c r="D857" s="29">
        <v>13</v>
      </c>
      <c r="E857" s="26" t="s">
        <v>43</v>
      </c>
      <c r="F857" t="s">
        <v>22</v>
      </c>
    </row>
    <row r="858" spans="1:6" ht="15.6" x14ac:dyDescent="0.3">
      <c r="A858" s="81">
        <v>44005</v>
      </c>
      <c r="B858" s="29">
        <v>12</v>
      </c>
      <c r="C858" s="29">
        <v>12</v>
      </c>
      <c r="D858" s="29">
        <v>12</v>
      </c>
      <c r="E858" s="26" t="s">
        <v>43</v>
      </c>
      <c r="F858" t="s">
        <v>22</v>
      </c>
    </row>
    <row r="859" spans="1:6" ht="15.6" x14ac:dyDescent="0.3">
      <c r="A859" s="81">
        <v>44011</v>
      </c>
      <c r="B859" s="29">
        <v>14</v>
      </c>
      <c r="C859" s="29">
        <v>14</v>
      </c>
      <c r="D859" s="29">
        <v>14</v>
      </c>
      <c r="E859" s="26" t="s">
        <v>43</v>
      </c>
      <c r="F859" t="s">
        <v>22</v>
      </c>
    </row>
    <row r="860" spans="1:6" ht="15.6" x14ac:dyDescent="0.3">
      <c r="A860" s="81">
        <v>44011</v>
      </c>
      <c r="B860" s="29">
        <v>13</v>
      </c>
      <c r="C860" s="47">
        <v>13</v>
      </c>
      <c r="D860" s="29">
        <v>13</v>
      </c>
      <c r="E860" s="26" t="s">
        <v>43</v>
      </c>
      <c r="F860" t="s">
        <v>22</v>
      </c>
    </row>
    <row r="861" spans="1:6" ht="15.6" x14ac:dyDescent="0.3">
      <c r="A861" s="81">
        <v>44011</v>
      </c>
      <c r="B861" s="29">
        <v>12</v>
      </c>
      <c r="C861" s="29">
        <v>12</v>
      </c>
      <c r="D861" s="29">
        <v>12</v>
      </c>
      <c r="E861" s="26" t="s">
        <v>43</v>
      </c>
      <c r="F861" t="s">
        <v>22</v>
      </c>
    </row>
    <row r="862" spans="1:6" ht="15.6" x14ac:dyDescent="0.3">
      <c r="A862" s="81">
        <v>44011</v>
      </c>
      <c r="B862" s="29">
        <v>14</v>
      </c>
      <c r="C862" s="29">
        <v>14</v>
      </c>
      <c r="D862" s="29">
        <v>14</v>
      </c>
      <c r="E862" s="26" t="s">
        <v>43</v>
      </c>
      <c r="F862" t="s">
        <v>22</v>
      </c>
    </row>
    <row r="863" spans="1:6" ht="15.6" x14ac:dyDescent="0.3">
      <c r="A863" s="81">
        <v>44011</v>
      </c>
      <c r="B863" s="29">
        <v>13</v>
      </c>
      <c r="C863" s="29">
        <v>13</v>
      </c>
      <c r="D863" s="29">
        <v>13</v>
      </c>
      <c r="E863" s="26" t="s">
        <v>43</v>
      </c>
      <c r="F863" t="s">
        <v>22</v>
      </c>
    </row>
    <row r="864" spans="1:6" ht="15.6" x14ac:dyDescent="0.3">
      <c r="A864" s="81">
        <v>44035</v>
      </c>
      <c r="B864" s="45">
        <v>15</v>
      </c>
      <c r="C864" s="45">
        <v>15</v>
      </c>
      <c r="D864" s="45">
        <v>15</v>
      </c>
      <c r="E864" s="26" t="s">
        <v>43</v>
      </c>
      <c r="F864" t="s">
        <v>22</v>
      </c>
    </row>
    <row r="865" spans="1:6" ht="15.6" x14ac:dyDescent="0.3">
      <c r="A865" s="81">
        <v>44035</v>
      </c>
      <c r="B865" s="45">
        <v>13</v>
      </c>
      <c r="C865" s="45">
        <v>13</v>
      </c>
      <c r="D865" s="45">
        <v>13</v>
      </c>
      <c r="E865" s="26" t="s">
        <v>43</v>
      </c>
      <c r="F865" t="s">
        <v>22</v>
      </c>
    </row>
    <row r="866" spans="1:6" ht="15.6" x14ac:dyDescent="0.3">
      <c r="A866" s="81">
        <v>44035</v>
      </c>
      <c r="B866" s="45">
        <v>10</v>
      </c>
      <c r="C866" s="45">
        <v>10</v>
      </c>
      <c r="D866" s="45">
        <v>10</v>
      </c>
      <c r="E866" s="26" t="s">
        <v>43</v>
      </c>
      <c r="F866" t="s">
        <v>22</v>
      </c>
    </row>
    <row r="867" spans="1:6" ht="15.6" x14ac:dyDescent="0.3">
      <c r="A867" s="81">
        <v>44035</v>
      </c>
      <c r="B867" s="45">
        <v>18</v>
      </c>
      <c r="C867" s="45">
        <v>18</v>
      </c>
      <c r="D867" s="45">
        <v>18</v>
      </c>
      <c r="E867" s="26" t="s">
        <v>43</v>
      </c>
      <c r="F867" t="s">
        <v>22</v>
      </c>
    </row>
    <row r="868" spans="1:6" ht="15.6" x14ac:dyDescent="0.3">
      <c r="A868" s="81">
        <v>44048</v>
      </c>
      <c r="B868" s="29">
        <v>13</v>
      </c>
      <c r="C868" s="29">
        <v>13</v>
      </c>
      <c r="D868" s="29">
        <v>13</v>
      </c>
      <c r="E868" s="26" t="s">
        <v>43</v>
      </c>
      <c r="F868" t="s">
        <v>22</v>
      </c>
    </row>
    <row r="869" spans="1:6" ht="15.6" x14ac:dyDescent="0.3">
      <c r="A869" s="81">
        <v>44048</v>
      </c>
      <c r="B869" s="29">
        <v>14</v>
      </c>
      <c r="C869" s="29">
        <v>14</v>
      </c>
      <c r="D869" s="29">
        <v>14</v>
      </c>
      <c r="E869" s="26" t="s">
        <v>43</v>
      </c>
      <c r="F869" t="s">
        <v>22</v>
      </c>
    </row>
    <row r="870" spans="1:6" ht="15.6" x14ac:dyDescent="0.3">
      <c r="A870" s="81">
        <v>44048</v>
      </c>
      <c r="B870" s="29">
        <v>14</v>
      </c>
      <c r="C870" s="29">
        <v>14</v>
      </c>
      <c r="D870" s="29">
        <v>14</v>
      </c>
      <c r="E870" s="26" t="s">
        <v>43</v>
      </c>
      <c r="F870" t="s">
        <v>22</v>
      </c>
    </row>
    <row r="871" spans="1:6" ht="15.6" x14ac:dyDescent="0.3">
      <c r="A871" s="81">
        <v>44064</v>
      </c>
      <c r="B871" s="29">
        <v>40</v>
      </c>
      <c r="C871" s="46">
        <v>40</v>
      </c>
      <c r="D871" s="29">
        <v>40</v>
      </c>
      <c r="E871" s="26" t="s">
        <v>43</v>
      </c>
      <c r="F871" t="s">
        <v>22</v>
      </c>
    </row>
    <row r="872" spans="1:6" ht="15.6" x14ac:dyDescent="0.3">
      <c r="A872" s="81">
        <v>44064</v>
      </c>
      <c r="B872" s="29">
        <v>38</v>
      </c>
      <c r="C872" s="46">
        <v>38</v>
      </c>
      <c r="D872" s="29">
        <v>38</v>
      </c>
      <c r="E872" s="26" t="s">
        <v>43</v>
      </c>
      <c r="F872" t="s">
        <v>22</v>
      </c>
    </row>
    <row r="873" spans="1:6" ht="15.6" x14ac:dyDescent="0.3">
      <c r="A873" s="81">
        <v>44064</v>
      </c>
      <c r="B873" s="29">
        <v>28</v>
      </c>
      <c r="C873" s="46">
        <v>28</v>
      </c>
      <c r="D873" s="29">
        <v>28</v>
      </c>
      <c r="E873" s="26" t="s">
        <v>43</v>
      </c>
      <c r="F873" t="s">
        <v>22</v>
      </c>
    </row>
    <row r="874" spans="1:6" ht="15.6" x14ac:dyDescent="0.3">
      <c r="A874" s="81">
        <v>44064</v>
      </c>
      <c r="B874" s="29">
        <v>26</v>
      </c>
      <c r="C874" s="46">
        <v>26</v>
      </c>
      <c r="D874" s="29">
        <v>26</v>
      </c>
      <c r="E874" s="26" t="s">
        <v>43</v>
      </c>
      <c r="F874" t="s">
        <v>22</v>
      </c>
    </row>
    <row r="875" spans="1:6" ht="15.6" x14ac:dyDescent="0.3">
      <c r="A875" s="81">
        <v>44068</v>
      </c>
      <c r="B875" s="29">
        <v>53</v>
      </c>
      <c r="C875" s="29">
        <v>53</v>
      </c>
      <c r="D875" s="29">
        <v>53</v>
      </c>
      <c r="E875" s="26" t="s">
        <v>43</v>
      </c>
      <c r="F875" t="s">
        <v>22</v>
      </c>
    </row>
    <row r="876" spans="1:6" ht="15.6" x14ac:dyDescent="0.3">
      <c r="A876" s="81">
        <v>44068</v>
      </c>
      <c r="B876" s="29">
        <v>40</v>
      </c>
      <c r="C876" s="29">
        <v>40</v>
      </c>
      <c r="D876" s="29">
        <v>40</v>
      </c>
      <c r="E876" s="26" t="s">
        <v>43</v>
      </c>
      <c r="F876" t="s">
        <v>22</v>
      </c>
    </row>
    <row r="877" spans="1:6" ht="15.6" x14ac:dyDescent="0.3">
      <c r="A877" s="81">
        <v>44068</v>
      </c>
      <c r="B877" s="29">
        <v>22</v>
      </c>
      <c r="C877" s="29">
        <v>22</v>
      </c>
      <c r="D877" s="29">
        <v>22</v>
      </c>
      <c r="E877" s="26" t="s">
        <v>43</v>
      </c>
      <c r="F877" t="s">
        <v>22</v>
      </c>
    </row>
    <row r="878" spans="1:6" ht="15.6" x14ac:dyDescent="0.3">
      <c r="A878" s="81">
        <v>44068</v>
      </c>
      <c r="B878" s="29">
        <v>23</v>
      </c>
      <c r="C878" s="29">
        <v>23</v>
      </c>
      <c r="D878" s="29">
        <v>23</v>
      </c>
      <c r="E878" s="26" t="s">
        <v>43</v>
      </c>
      <c r="F878" t="s">
        <v>22</v>
      </c>
    </row>
    <row r="879" spans="1:6" ht="15.6" x14ac:dyDescent="0.3">
      <c r="A879" s="81">
        <v>44075</v>
      </c>
      <c r="B879" s="29">
        <v>29</v>
      </c>
      <c r="C879" s="29">
        <v>29</v>
      </c>
      <c r="D879" s="29">
        <v>29</v>
      </c>
      <c r="E879" s="26" t="s">
        <v>43</v>
      </c>
      <c r="F879" t="s">
        <v>22</v>
      </c>
    </row>
    <row r="880" spans="1:6" ht="15.6" x14ac:dyDescent="0.3">
      <c r="A880" s="81">
        <v>44075</v>
      </c>
      <c r="B880" s="29">
        <v>29</v>
      </c>
      <c r="C880" s="29">
        <v>29</v>
      </c>
      <c r="D880" s="29">
        <v>29</v>
      </c>
      <c r="E880" s="26" t="s">
        <v>43</v>
      </c>
      <c r="F880" t="s">
        <v>22</v>
      </c>
    </row>
    <row r="881" spans="1:6" ht="15.6" x14ac:dyDescent="0.3">
      <c r="A881" s="81">
        <v>44075</v>
      </c>
      <c r="B881" s="29">
        <v>16</v>
      </c>
      <c r="C881" s="29">
        <v>16</v>
      </c>
      <c r="D881" s="29">
        <v>16</v>
      </c>
      <c r="E881" s="26" t="s">
        <v>43</v>
      </c>
      <c r="F881" t="s">
        <v>22</v>
      </c>
    </row>
    <row r="882" spans="1:6" ht="15.6" x14ac:dyDescent="0.3">
      <c r="A882" s="81">
        <v>44076</v>
      </c>
      <c r="B882" s="29">
        <v>17</v>
      </c>
      <c r="C882" s="29">
        <v>17</v>
      </c>
      <c r="D882" s="29">
        <v>17</v>
      </c>
      <c r="E882" s="26" t="s">
        <v>43</v>
      </c>
      <c r="F882" t="s">
        <v>22</v>
      </c>
    </row>
    <row r="883" spans="1:6" ht="15.6" x14ac:dyDescent="0.3">
      <c r="A883" s="81">
        <v>44076</v>
      </c>
      <c r="B883" s="29">
        <v>16</v>
      </c>
      <c r="C883" s="29">
        <v>16</v>
      </c>
      <c r="D883" s="29">
        <v>16</v>
      </c>
      <c r="E883" s="26" t="s">
        <v>43</v>
      </c>
      <c r="F883" t="s">
        <v>22</v>
      </c>
    </row>
    <row r="884" spans="1:6" ht="15.6" x14ac:dyDescent="0.3">
      <c r="A884" s="81">
        <v>44076</v>
      </c>
      <c r="B884" s="29">
        <v>19</v>
      </c>
      <c r="C884" s="29">
        <v>19</v>
      </c>
      <c r="D884" s="29">
        <v>19</v>
      </c>
      <c r="E884" s="26" t="s">
        <v>43</v>
      </c>
      <c r="F884" t="s">
        <v>22</v>
      </c>
    </row>
    <row r="885" spans="1:6" ht="15.6" x14ac:dyDescent="0.3">
      <c r="A885" s="81">
        <v>44076</v>
      </c>
      <c r="B885" s="29">
        <v>17</v>
      </c>
      <c r="C885" s="29">
        <v>17</v>
      </c>
      <c r="D885" s="29">
        <v>17</v>
      </c>
      <c r="E885" s="26" t="s">
        <v>43</v>
      </c>
      <c r="F885" t="s">
        <v>22</v>
      </c>
    </row>
    <row r="886" spans="1:6" ht="15.6" x14ac:dyDescent="0.3">
      <c r="A886" s="81">
        <v>44076</v>
      </c>
      <c r="B886" s="29">
        <v>31</v>
      </c>
      <c r="C886" s="29">
        <v>31</v>
      </c>
      <c r="D886" s="29">
        <v>31</v>
      </c>
      <c r="E886" s="26" t="s">
        <v>43</v>
      </c>
      <c r="F886" t="s">
        <v>22</v>
      </c>
    </row>
    <row r="887" spans="1:6" ht="15.6" x14ac:dyDescent="0.3">
      <c r="A887" s="81">
        <v>44077</v>
      </c>
      <c r="B887" s="29">
        <v>24</v>
      </c>
      <c r="C887" s="29">
        <v>24</v>
      </c>
      <c r="D887" s="29">
        <v>24</v>
      </c>
      <c r="E887" s="26" t="s">
        <v>43</v>
      </c>
      <c r="F887" t="s">
        <v>22</v>
      </c>
    </row>
    <row r="888" spans="1:6" ht="15.6" x14ac:dyDescent="0.3">
      <c r="A888" s="81">
        <v>44077</v>
      </c>
      <c r="B888" s="29">
        <v>20</v>
      </c>
      <c r="C888" s="29">
        <v>20</v>
      </c>
      <c r="D888" s="29">
        <v>20</v>
      </c>
      <c r="E888" s="26" t="s">
        <v>43</v>
      </c>
      <c r="F888" t="s">
        <v>22</v>
      </c>
    </row>
    <row r="889" spans="1:6" ht="15.6" x14ac:dyDescent="0.3">
      <c r="A889" s="81">
        <v>44077</v>
      </c>
      <c r="B889" s="29">
        <v>22</v>
      </c>
      <c r="C889" s="29">
        <v>22</v>
      </c>
      <c r="D889" s="29">
        <v>22</v>
      </c>
      <c r="E889" s="26" t="s">
        <v>43</v>
      </c>
      <c r="F889" t="s">
        <v>22</v>
      </c>
    </row>
    <row r="890" spans="1:6" ht="15.6" x14ac:dyDescent="0.3">
      <c r="A890" s="81">
        <v>44082</v>
      </c>
      <c r="B890" s="29">
        <v>24</v>
      </c>
      <c r="C890" s="29">
        <v>24</v>
      </c>
      <c r="D890" s="29">
        <v>24</v>
      </c>
      <c r="E890" s="26" t="s">
        <v>43</v>
      </c>
      <c r="F890" t="s">
        <v>22</v>
      </c>
    </row>
    <row r="891" spans="1:6" ht="15.6" x14ac:dyDescent="0.3">
      <c r="A891" s="81">
        <v>44082</v>
      </c>
      <c r="B891" s="29">
        <v>24</v>
      </c>
      <c r="C891" s="29">
        <v>24</v>
      </c>
      <c r="D891" s="29">
        <v>24</v>
      </c>
      <c r="E891" s="26" t="s">
        <v>43</v>
      </c>
      <c r="F891" t="s">
        <v>22</v>
      </c>
    </row>
    <row r="892" spans="1:6" ht="15.6" x14ac:dyDescent="0.3">
      <c r="A892" s="81">
        <v>44082</v>
      </c>
      <c r="B892" s="29">
        <v>12</v>
      </c>
      <c r="C892" s="29">
        <v>12</v>
      </c>
      <c r="D892" s="29">
        <v>12</v>
      </c>
      <c r="E892" s="26" t="s">
        <v>43</v>
      </c>
      <c r="F892" t="s">
        <v>22</v>
      </c>
    </row>
    <row r="893" spans="1:6" ht="15.6" x14ac:dyDescent="0.3">
      <c r="A893" s="81">
        <v>44083</v>
      </c>
      <c r="B893" s="29">
        <v>21</v>
      </c>
      <c r="C893" s="29">
        <v>21</v>
      </c>
      <c r="D893" s="29">
        <v>21</v>
      </c>
      <c r="E893" s="26" t="s">
        <v>43</v>
      </c>
      <c r="F893" t="s">
        <v>22</v>
      </c>
    </row>
    <row r="894" spans="1:6" ht="15.6" x14ac:dyDescent="0.3">
      <c r="A894" s="81">
        <v>44083</v>
      </c>
      <c r="B894" s="29">
        <v>12</v>
      </c>
      <c r="C894" s="29">
        <v>12</v>
      </c>
      <c r="D894" s="29">
        <v>12</v>
      </c>
      <c r="E894" s="26" t="s">
        <v>43</v>
      </c>
      <c r="F894" t="s">
        <v>22</v>
      </c>
    </row>
    <row r="895" spans="1:6" ht="15.6" x14ac:dyDescent="0.3">
      <c r="A895" s="81">
        <v>44083</v>
      </c>
      <c r="B895" s="29">
        <v>12</v>
      </c>
      <c r="C895" s="29">
        <v>12</v>
      </c>
      <c r="D895" s="29">
        <v>12</v>
      </c>
      <c r="E895" s="26" t="s">
        <v>43</v>
      </c>
      <c r="F895" t="s">
        <v>22</v>
      </c>
    </row>
    <row r="896" spans="1:6" ht="15.6" x14ac:dyDescent="0.3">
      <c r="A896" s="81">
        <v>44083</v>
      </c>
      <c r="B896" s="29">
        <v>11</v>
      </c>
      <c r="C896" s="29">
        <v>11</v>
      </c>
      <c r="D896" s="29">
        <v>11</v>
      </c>
      <c r="E896" s="26" t="s">
        <v>43</v>
      </c>
      <c r="F896" t="s">
        <v>22</v>
      </c>
    </row>
    <row r="897" spans="1:6" ht="15.6" x14ac:dyDescent="0.3">
      <c r="A897" s="81">
        <v>44085</v>
      </c>
      <c r="B897" s="29">
        <v>27</v>
      </c>
      <c r="C897" s="29">
        <v>27</v>
      </c>
      <c r="D897" s="29">
        <v>27</v>
      </c>
      <c r="E897" s="26" t="s">
        <v>43</v>
      </c>
      <c r="F897" t="s">
        <v>22</v>
      </c>
    </row>
    <row r="898" spans="1:6" ht="15.6" x14ac:dyDescent="0.3">
      <c r="A898" s="81">
        <v>44085</v>
      </c>
      <c r="B898" s="29">
        <v>14</v>
      </c>
      <c r="C898" s="29">
        <v>14</v>
      </c>
      <c r="D898" s="29">
        <v>14</v>
      </c>
      <c r="E898" s="26" t="s">
        <v>43</v>
      </c>
      <c r="F898" t="s">
        <v>22</v>
      </c>
    </row>
    <row r="899" spans="1:6" ht="15.6" x14ac:dyDescent="0.3">
      <c r="A899" s="81">
        <v>44085</v>
      </c>
      <c r="B899" s="29">
        <v>13</v>
      </c>
      <c r="C899" s="29">
        <v>13</v>
      </c>
      <c r="D899" s="29">
        <v>13</v>
      </c>
      <c r="E899" s="26" t="s">
        <v>43</v>
      </c>
      <c r="F899" t="s">
        <v>22</v>
      </c>
    </row>
    <row r="900" spans="1:6" ht="15.6" x14ac:dyDescent="0.3">
      <c r="A900" s="81">
        <v>44085</v>
      </c>
      <c r="B900" s="29">
        <v>12</v>
      </c>
      <c r="C900" s="29">
        <v>12</v>
      </c>
      <c r="D900" s="29">
        <v>12</v>
      </c>
      <c r="E900" s="26" t="s">
        <v>43</v>
      </c>
      <c r="F900" t="s">
        <v>22</v>
      </c>
    </row>
    <row r="901" spans="1:6" ht="15.6" x14ac:dyDescent="0.3">
      <c r="A901" s="81">
        <v>44088</v>
      </c>
      <c r="B901" s="29">
        <v>17</v>
      </c>
      <c r="C901" s="29">
        <v>17</v>
      </c>
      <c r="D901" s="29">
        <v>17</v>
      </c>
      <c r="E901" s="26" t="s">
        <v>43</v>
      </c>
      <c r="F901" t="s">
        <v>22</v>
      </c>
    </row>
    <row r="902" spans="1:6" ht="15.6" x14ac:dyDescent="0.3">
      <c r="A902" s="81">
        <v>44088</v>
      </c>
      <c r="B902" s="29">
        <v>18</v>
      </c>
      <c r="C902" s="29">
        <v>18</v>
      </c>
      <c r="D902" s="29">
        <v>18</v>
      </c>
      <c r="E902" s="26" t="s">
        <v>43</v>
      </c>
      <c r="F902" t="s">
        <v>22</v>
      </c>
    </row>
    <row r="903" spans="1:6" ht="15.6" x14ac:dyDescent="0.3">
      <c r="A903" s="81">
        <v>44088</v>
      </c>
      <c r="B903" s="29">
        <v>36</v>
      </c>
      <c r="C903" s="29">
        <v>36</v>
      </c>
      <c r="D903" s="29">
        <v>36</v>
      </c>
      <c r="E903" s="26" t="s">
        <v>43</v>
      </c>
      <c r="F903" t="s">
        <v>22</v>
      </c>
    </row>
    <row r="904" spans="1:6" ht="15.6" x14ac:dyDescent="0.3">
      <c r="A904" s="81">
        <v>44088</v>
      </c>
      <c r="B904" s="29">
        <v>17</v>
      </c>
      <c r="C904" s="29">
        <v>17</v>
      </c>
      <c r="D904" s="29">
        <v>17</v>
      </c>
      <c r="E904" s="26" t="s">
        <v>43</v>
      </c>
      <c r="F904" t="s">
        <v>22</v>
      </c>
    </row>
    <row r="905" spans="1:6" ht="15.6" x14ac:dyDescent="0.3">
      <c r="A905" s="81">
        <v>44090</v>
      </c>
      <c r="B905" s="29">
        <v>37</v>
      </c>
      <c r="C905" s="29">
        <v>37</v>
      </c>
      <c r="D905" s="29">
        <v>37</v>
      </c>
      <c r="E905" s="26" t="s">
        <v>43</v>
      </c>
      <c r="F905" t="s">
        <v>22</v>
      </c>
    </row>
    <row r="906" spans="1:6" ht="15.6" x14ac:dyDescent="0.3">
      <c r="A906" s="81">
        <v>44090</v>
      </c>
      <c r="B906" s="29">
        <v>19</v>
      </c>
      <c r="C906" s="29">
        <v>19</v>
      </c>
      <c r="D906" s="29">
        <v>19</v>
      </c>
      <c r="E906" s="26" t="s">
        <v>43</v>
      </c>
      <c r="F906" t="s">
        <v>22</v>
      </c>
    </row>
    <row r="907" spans="1:6" ht="15.6" x14ac:dyDescent="0.3">
      <c r="A907" s="81">
        <v>44090</v>
      </c>
      <c r="B907" s="29">
        <v>18</v>
      </c>
      <c r="C907" s="29">
        <v>18</v>
      </c>
      <c r="D907" s="29">
        <v>18</v>
      </c>
      <c r="E907" s="26" t="s">
        <v>43</v>
      </c>
      <c r="F907" t="s">
        <v>22</v>
      </c>
    </row>
    <row r="908" spans="1:6" ht="15.6" x14ac:dyDescent="0.3">
      <c r="A908" s="81">
        <v>44090</v>
      </c>
      <c r="B908" s="29">
        <v>32</v>
      </c>
      <c r="C908" s="29">
        <v>32</v>
      </c>
      <c r="D908" s="29">
        <v>32</v>
      </c>
      <c r="E908" s="26" t="s">
        <v>43</v>
      </c>
      <c r="F908" t="s">
        <v>22</v>
      </c>
    </row>
    <row r="909" spans="1:6" ht="15.6" x14ac:dyDescent="0.3">
      <c r="A909" s="81">
        <v>44092</v>
      </c>
      <c r="B909" s="29">
        <v>37</v>
      </c>
      <c r="C909" s="29">
        <v>37</v>
      </c>
      <c r="D909" s="29">
        <v>37</v>
      </c>
      <c r="E909" s="26" t="s">
        <v>43</v>
      </c>
      <c r="F909" t="s">
        <v>22</v>
      </c>
    </row>
    <row r="910" spans="1:6" ht="15.6" x14ac:dyDescent="0.3">
      <c r="A910" s="81">
        <v>44092</v>
      </c>
      <c r="B910" s="29">
        <v>25</v>
      </c>
      <c r="C910" s="29">
        <v>25</v>
      </c>
      <c r="D910" s="29">
        <v>25</v>
      </c>
      <c r="E910" s="26" t="s">
        <v>43</v>
      </c>
      <c r="F910" t="s">
        <v>22</v>
      </c>
    </row>
    <row r="911" spans="1:6" ht="15.6" x14ac:dyDescent="0.3">
      <c r="A911" s="81">
        <v>44092</v>
      </c>
      <c r="B911" s="29">
        <v>19</v>
      </c>
      <c r="C911" s="29">
        <v>19</v>
      </c>
      <c r="D911" s="29">
        <v>19</v>
      </c>
      <c r="E911" s="26" t="s">
        <v>43</v>
      </c>
      <c r="F911" t="s">
        <v>22</v>
      </c>
    </row>
    <row r="912" spans="1:6" ht="15.6" x14ac:dyDescent="0.3">
      <c r="A912" s="81">
        <v>44095</v>
      </c>
      <c r="B912" s="29">
        <v>30</v>
      </c>
      <c r="C912" s="29">
        <v>30</v>
      </c>
      <c r="D912" s="29">
        <v>30</v>
      </c>
      <c r="E912" s="26" t="s">
        <v>43</v>
      </c>
      <c r="F912" t="s">
        <v>22</v>
      </c>
    </row>
    <row r="913" spans="1:6" ht="15.6" x14ac:dyDescent="0.3">
      <c r="A913" s="81">
        <v>44095</v>
      </c>
      <c r="B913" s="29">
        <v>25</v>
      </c>
      <c r="C913" s="29">
        <v>25</v>
      </c>
      <c r="D913" s="29">
        <v>25</v>
      </c>
      <c r="E913" s="26" t="s">
        <v>43</v>
      </c>
      <c r="F913" t="s">
        <v>22</v>
      </c>
    </row>
    <row r="914" spans="1:6" ht="15.6" x14ac:dyDescent="0.3">
      <c r="A914" s="81">
        <v>44095</v>
      </c>
      <c r="B914" s="29">
        <v>20</v>
      </c>
      <c r="C914" s="29">
        <v>20</v>
      </c>
      <c r="D914" s="29">
        <v>20</v>
      </c>
      <c r="E914" s="26" t="s">
        <v>43</v>
      </c>
      <c r="F914" t="s">
        <v>22</v>
      </c>
    </row>
    <row r="915" spans="1:6" ht="15.6" x14ac:dyDescent="0.3">
      <c r="A915" s="81">
        <v>44096</v>
      </c>
      <c r="B915" s="29">
        <v>19</v>
      </c>
      <c r="C915" s="29">
        <v>19</v>
      </c>
      <c r="D915" s="29">
        <v>19</v>
      </c>
      <c r="E915" s="26" t="s">
        <v>43</v>
      </c>
      <c r="F915" t="s">
        <v>22</v>
      </c>
    </row>
    <row r="916" spans="1:6" ht="15.6" x14ac:dyDescent="0.3">
      <c r="A916" s="81">
        <v>44096</v>
      </c>
      <c r="B916" s="29">
        <v>21</v>
      </c>
      <c r="C916" s="29">
        <v>21</v>
      </c>
      <c r="D916" s="29">
        <v>21</v>
      </c>
      <c r="E916" s="26" t="s">
        <v>43</v>
      </c>
      <c r="F916" t="s">
        <v>22</v>
      </c>
    </row>
    <row r="917" spans="1:6" ht="15.6" x14ac:dyDescent="0.3">
      <c r="A917" s="81">
        <v>44096</v>
      </c>
      <c r="B917" s="29">
        <v>45</v>
      </c>
      <c r="C917" s="29">
        <v>45</v>
      </c>
      <c r="D917" s="29">
        <v>45</v>
      </c>
      <c r="E917" s="26" t="s">
        <v>43</v>
      </c>
      <c r="F917" t="s">
        <v>22</v>
      </c>
    </row>
    <row r="918" spans="1:6" ht="15.6" x14ac:dyDescent="0.3">
      <c r="A918" s="81">
        <v>44096</v>
      </c>
      <c r="B918" s="29">
        <v>22</v>
      </c>
      <c r="C918" s="29">
        <v>22</v>
      </c>
      <c r="D918" s="29">
        <v>22</v>
      </c>
      <c r="E918" s="26" t="s">
        <v>43</v>
      </c>
      <c r="F918" t="s">
        <v>22</v>
      </c>
    </row>
    <row r="919" spans="1:6" ht="15.6" x14ac:dyDescent="0.3">
      <c r="A919" s="81">
        <v>44097</v>
      </c>
      <c r="B919" s="29">
        <v>15</v>
      </c>
      <c r="C919" s="29">
        <v>15</v>
      </c>
      <c r="D919" s="29">
        <v>15</v>
      </c>
      <c r="E919" s="26" t="s">
        <v>43</v>
      </c>
      <c r="F919" t="s">
        <v>22</v>
      </c>
    </row>
    <row r="920" spans="1:6" ht="15.6" x14ac:dyDescent="0.3">
      <c r="A920" s="81">
        <v>44097</v>
      </c>
      <c r="B920" s="29">
        <v>18</v>
      </c>
      <c r="C920" s="29">
        <v>18</v>
      </c>
      <c r="D920" s="29">
        <v>18</v>
      </c>
      <c r="E920" s="26" t="s">
        <v>43</v>
      </c>
      <c r="F920" t="s">
        <v>22</v>
      </c>
    </row>
    <row r="921" spans="1:6" ht="15.6" x14ac:dyDescent="0.3">
      <c r="A921" s="81">
        <v>44097</v>
      </c>
      <c r="B921" s="29">
        <v>17</v>
      </c>
      <c r="C921" s="29">
        <v>17</v>
      </c>
      <c r="D921" s="29">
        <v>17</v>
      </c>
      <c r="E921" s="26" t="s">
        <v>43</v>
      </c>
      <c r="F921" t="s">
        <v>22</v>
      </c>
    </row>
    <row r="922" spans="1:6" ht="15.6" x14ac:dyDescent="0.3">
      <c r="A922" s="81">
        <v>44102</v>
      </c>
      <c r="B922" s="29">
        <v>48</v>
      </c>
      <c r="C922" s="29">
        <v>48</v>
      </c>
      <c r="D922" s="29">
        <v>48</v>
      </c>
      <c r="E922" s="26" t="s">
        <v>43</v>
      </c>
      <c r="F922" t="s">
        <v>22</v>
      </c>
    </row>
    <row r="923" spans="1:6" ht="15.6" x14ac:dyDescent="0.3">
      <c r="A923" s="81">
        <v>44102</v>
      </c>
      <c r="B923" s="29">
        <v>37</v>
      </c>
      <c r="C923" s="29">
        <v>37</v>
      </c>
      <c r="D923" s="29">
        <v>37</v>
      </c>
      <c r="E923" s="26" t="s">
        <v>43</v>
      </c>
      <c r="F923" t="s">
        <v>22</v>
      </c>
    </row>
    <row r="924" spans="1:6" ht="15.6" x14ac:dyDescent="0.3">
      <c r="A924" s="81">
        <v>44102</v>
      </c>
      <c r="B924" s="29">
        <v>24</v>
      </c>
      <c r="C924" s="29">
        <v>24</v>
      </c>
      <c r="D924" s="29">
        <v>24</v>
      </c>
      <c r="E924" s="26" t="s">
        <v>43</v>
      </c>
      <c r="F924" t="s">
        <v>22</v>
      </c>
    </row>
    <row r="925" spans="1:6" ht="15.6" x14ac:dyDescent="0.3">
      <c r="A925" s="81">
        <v>44102</v>
      </c>
      <c r="B925" s="29">
        <v>16</v>
      </c>
      <c r="C925" s="29">
        <v>16</v>
      </c>
      <c r="D925" s="29">
        <v>16</v>
      </c>
      <c r="E925" s="26" t="s">
        <v>43</v>
      </c>
      <c r="F925" t="s">
        <v>22</v>
      </c>
    </row>
    <row r="926" spans="1:6" ht="15.6" x14ac:dyDescent="0.3">
      <c r="A926" s="81">
        <v>44103</v>
      </c>
      <c r="B926" s="29">
        <v>21</v>
      </c>
      <c r="C926" s="29">
        <v>21</v>
      </c>
      <c r="D926" s="29">
        <v>21</v>
      </c>
      <c r="E926" s="26" t="s">
        <v>43</v>
      </c>
      <c r="F926" t="s">
        <v>22</v>
      </c>
    </row>
    <row r="927" spans="1:6" ht="15.6" x14ac:dyDescent="0.3">
      <c r="A927" s="81">
        <v>44103</v>
      </c>
      <c r="B927" s="29">
        <v>14</v>
      </c>
      <c r="C927" s="29">
        <v>14</v>
      </c>
      <c r="D927" s="29">
        <v>14</v>
      </c>
      <c r="E927" s="26" t="s">
        <v>43</v>
      </c>
      <c r="F927" t="s">
        <v>22</v>
      </c>
    </row>
    <row r="928" spans="1:6" ht="15.6" x14ac:dyDescent="0.3">
      <c r="A928" s="81">
        <v>44103</v>
      </c>
      <c r="B928" s="29">
        <v>16</v>
      </c>
      <c r="C928" s="29">
        <v>16</v>
      </c>
      <c r="D928" s="29">
        <v>16</v>
      </c>
      <c r="E928" s="26" t="s">
        <v>43</v>
      </c>
      <c r="F928" t="s">
        <v>22</v>
      </c>
    </row>
    <row r="929" spans="1:6" ht="15.6" x14ac:dyDescent="0.3">
      <c r="A929" s="81">
        <v>44103</v>
      </c>
      <c r="B929" s="29">
        <v>15</v>
      </c>
      <c r="C929" s="29">
        <v>15</v>
      </c>
      <c r="D929" s="29">
        <v>15</v>
      </c>
      <c r="E929" s="26" t="s">
        <v>43</v>
      </c>
      <c r="F929" t="s">
        <v>22</v>
      </c>
    </row>
    <row r="930" spans="1:6" ht="15.6" x14ac:dyDescent="0.3">
      <c r="A930" s="81">
        <v>44104</v>
      </c>
      <c r="B930" s="29">
        <v>15</v>
      </c>
      <c r="C930" s="29">
        <v>15</v>
      </c>
      <c r="D930" s="29">
        <v>15</v>
      </c>
      <c r="E930" s="26" t="s">
        <v>43</v>
      </c>
      <c r="F930" t="s">
        <v>22</v>
      </c>
    </row>
    <row r="931" spans="1:6" ht="15.6" x14ac:dyDescent="0.3">
      <c r="A931" s="81">
        <v>44104</v>
      </c>
      <c r="B931" s="29">
        <v>30</v>
      </c>
      <c r="C931" s="29">
        <v>30</v>
      </c>
      <c r="D931" s="29">
        <v>30</v>
      </c>
      <c r="E931" s="26" t="s">
        <v>43</v>
      </c>
      <c r="F931" t="s">
        <v>22</v>
      </c>
    </row>
    <row r="932" spans="1:6" ht="15.6" x14ac:dyDescent="0.3">
      <c r="A932" s="81">
        <v>44104</v>
      </c>
      <c r="B932" s="29">
        <v>15</v>
      </c>
      <c r="C932" s="29">
        <v>15</v>
      </c>
      <c r="D932" s="29">
        <v>15</v>
      </c>
      <c r="E932" s="26" t="s">
        <v>43</v>
      </c>
      <c r="F932" t="s">
        <v>22</v>
      </c>
    </row>
    <row r="933" spans="1:6" ht="15.6" x14ac:dyDescent="0.3">
      <c r="A933" s="81">
        <v>44104</v>
      </c>
      <c r="B933" s="29">
        <v>17</v>
      </c>
      <c r="C933" s="29">
        <v>17</v>
      </c>
      <c r="D933" s="29">
        <v>17</v>
      </c>
      <c r="E933" s="26" t="s">
        <v>43</v>
      </c>
      <c r="F933" t="s">
        <v>22</v>
      </c>
    </row>
    <row r="934" spans="1:6" ht="15.6" x14ac:dyDescent="0.3">
      <c r="A934" s="81">
        <v>44106</v>
      </c>
      <c r="B934" s="29">
        <v>32</v>
      </c>
      <c r="C934" s="29">
        <v>32</v>
      </c>
      <c r="D934" s="29">
        <v>32</v>
      </c>
      <c r="E934" s="26" t="s">
        <v>43</v>
      </c>
      <c r="F934" t="s">
        <v>22</v>
      </c>
    </row>
    <row r="935" spans="1:6" ht="15.6" x14ac:dyDescent="0.3">
      <c r="A935" s="81">
        <v>44106</v>
      </c>
      <c r="B935" s="29">
        <v>29</v>
      </c>
      <c r="C935" s="29">
        <v>29</v>
      </c>
      <c r="D935" s="29">
        <v>29</v>
      </c>
      <c r="E935" s="26" t="s">
        <v>43</v>
      </c>
      <c r="F935" t="s">
        <v>22</v>
      </c>
    </row>
    <row r="936" spans="1:6" ht="15.6" x14ac:dyDescent="0.3">
      <c r="A936" s="81">
        <v>44106</v>
      </c>
      <c r="B936" s="29">
        <v>17</v>
      </c>
      <c r="C936" s="29">
        <v>17</v>
      </c>
      <c r="D936" s="29">
        <v>17</v>
      </c>
      <c r="E936" s="26" t="s">
        <v>43</v>
      </c>
      <c r="F936" t="s">
        <v>22</v>
      </c>
    </row>
    <row r="937" spans="1:6" ht="15.6" x14ac:dyDescent="0.3">
      <c r="A937" s="81">
        <v>44110</v>
      </c>
      <c r="B937" s="47">
        <v>18</v>
      </c>
      <c r="C937" s="47">
        <v>18</v>
      </c>
      <c r="D937" s="47">
        <v>18</v>
      </c>
      <c r="E937" s="26" t="s">
        <v>43</v>
      </c>
      <c r="F937" t="s">
        <v>22</v>
      </c>
    </row>
    <row r="938" spans="1:6" ht="15.6" x14ac:dyDescent="0.3">
      <c r="A938" s="81">
        <v>44110</v>
      </c>
      <c r="B938" s="47">
        <v>20</v>
      </c>
      <c r="C938" s="47">
        <v>20</v>
      </c>
      <c r="D938" s="47">
        <v>20</v>
      </c>
      <c r="E938" s="26" t="s">
        <v>43</v>
      </c>
      <c r="F938" t="s">
        <v>22</v>
      </c>
    </row>
    <row r="939" spans="1:6" ht="15.6" x14ac:dyDescent="0.3">
      <c r="A939" s="81">
        <v>44110</v>
      </c>
      <c r="B939" s="47">
        <v>27</v>
      </c>
      <c r="C939" s="47">
        <v>27</v>
      </c>
      <c r="D939" s="47">
        <v>27</v>
      </c>
      <c r="E939" s="26" t="s">
        <v>43</v>
      </c>
      <c r="F939" t="s">
        <v>22</v>
      </c>
    </row>
    <row r="940" spans="1:6" ht="15.6" x14ac:dyDescent="0.3">
      <c r="A940" s="81">
        <v>44111</v>
      </c>
      <c r="B940" s="29">
        <v>36</v>
      </c>
      <c r="C940" s="29">
        <v>36</v>
      </c>
      <c r="D940" s="29">
        <v>36</v>
      </c>
      <c r="E940" s="26" t="s">
        <v>43</v>
      </c>
      <c r="F940" t="s">
        <v>22</v>
      </c>
    </row>
    <row r="941" spans="1:6" ht="15.6" x14ac:dyDescent="0.3">
      <c r="A941" s="81">
        <v>44111</v>
      </c>
      <c r="B941" s="29">
        <v>27</v>
      </c>
      <c r="C941" s="29">
        <v>27</v>
      </c>
      <c r="D941" s="29">
        <v>27</v>
      </c>
      <c r="E941" s="26" t="s">
        <v>43</v>
      </c>
      <c r="F941" t="s">
        <v>22</v>
      </c>
    </row>
    <row r="942" spans="1:6" ht="15.6" x14ac:dyDescent="0.3">
      <c r="A942" s="81">
        <v>44111</v>
      </c>
      <c r="B942" s="29">
        <v>31</v>
      </c>
      <c r="C942" s="29">
        <v>31</v>
      </c>
      <c r="D942" s="29">
        <v>31</v>
      </c>
      <c r="E942" s="26" t="s">
        <v>43</v>
      </c>
      <c r="F942" t="s">
        <v>22</v>
      </c>
    </row>
    <row r="943" spans="1:6" ht="15.6" x14ac:dyDescent="0.3">
      <c r="A943" s="81">
        <v>44112</v>
      </c>
      <c r="B943" s="29">
        <v>37</v>
      </c>
      <c r="C943" s="29">
        <v>37</v>
      </c>
      <c r="D943" s="29">
        <v>37</v>
      </c>
      <c r="E943" s="26" t="s">
        <v>43</v>
      </c>
      <c r="F943" t="s">
        <v>22</v>
      </c>
    </row>
    <row r="944" spans="1:6" ht="15.6" x14ac:dyDescent="0.3">
      <c r="A944" s="81">
        <v>44112</v>
      </c>
      <c r="B944" s="29">
        <v>18</v>
      </c>
      <c r="C944" s="29">
        <v>18</v>
      </c>
      <c r="D944" s="29">
        <v>18</v>
      </c>
      <c r="E944" s="26" t="s">
        <v>43</v>
      </c>
      <c r="F944" t="s">
        <v>22</v>
      </c>
    </row>
    <row r="945" spans="1:6" ht="15.6" x14ac:dyDescent="0.3">
      <c r="A945" s="81">
        <v>44112</v>
      </c>
      <c r="B945" s="29">
        <v>18</v>
      </c>
      <c r="C945" s="29">
        <v>18</v>
      </c>
      <c r="D945" s="29">
        <v>18</v>
      </c>
      <c r="E945" s="26" t="s">
        <v>43</v>
      </c>
      <c r="F945" t="s">
        <v>22</v>
      </c>
    </row>
    <row r="946" spans="1:6" ht="15.6" x14ac:dyDescent="0.3">
      <c r="A946" s="81">
        <v>44112</v>
      </c>
      <c r="B946" s="29">
        <v>16</v>
      </c>
      <c r="C946" s="29">
        <v>16</v>
      </c>
      <c r="D946" s="29">
        <v>16</v>
      </c>
      <c r="E946" s="26" t="s">
        <v>43</v>
      </c>
      <c r="F946" t="s">
        <v>22</v>
      </c>
    </row>
    <row r="947" spans="1:6" ht="15.6" x14ac:dyDescent="0.3">
      <c r="A947" s="81">
        <v>44113</v>
      </c>
      <c r="B947" s="29">
        <v>22</v>
      </c>
      <c r="C947" s="29">
        <v>22</v>
      </c>
      <c r="D947" s="29">
        <v>22</v>
      </c>
      <c r="E947" s="26" t="s">
        <v>43</v>
      </c>
      <c r="F947" t="s">
        <v>22</v>
      </c>
    </row>
    <row r="948" spans="1:6" ht="15.6" x14ac:dyDescent="0.3">
      <c r="A948" s="81">
        <v>44113</v>
      </c>
      <c r="B948" s="29">
        <f>18-6</f>
        <v>12</v>
      </c>
      <c r="C948" s="29">
        <f>18-6</f>
        <v>12</v>
      </c>
      <c r="D948" s="29">
        <f>18-6</f>
        <v>12</v>
      </c>
      <c r="E948" s="26" t="s">
        <v>43</v>
      </c>
      <c r="F948" t="s">
        <v>22</v>
      </c>
    </row>
    <row r="949" spans="1:6" ht="15.6" x14ac:dyDescent="0.3">
      <c r="A949" s="81">
        <v>44113</v>
      </c>
      <c r="B949" s="29">
        <v>23</v>
      </c>
      <c r="C949" s="29">
        <v>23</v>
      </c>
      <c r="D949" s="29">
        <v>23</v>
      </c>
      <c r="E949" s="26" t="s">
        <v>43</v>
      </c>
      <c r="F949" t="s">
        <v>22</v>
      </c>
    </row>
    <row r="950" spans="1:6" ht="15.6" x14ac:dyDescent="0.3">
      <c r="A950" s="81">
        <v>44113</v>
      </c>
      <c r="B950" s="29">
        <v>20</v>
      </c>
      <c r="C950" s="29">
        <v>20</v>
      </c>
      <c r="D950" s="29">
        <v>20</v>
      </c>
      <c r="E950" s="26" t="s">
        <v>43</v>
      </c>
      <c r="F950" t="s">
        <v>22</v>
      </c>
    </row>
    <row r="951" spans="1:6" ht="15.6" x14ac:dyDescent="0.3">
      <c r="A951" s="81">
        <v>44113</v>
      </c>
      <c r="B951" s="29">
        <v>20</v>
      </c>
      <c r="C951" s="29">
        <v>20</v>
      </c>
      <c r="D951" s="29">
        <v>20</v>
      </c>
      <c r="E951" s="26" t="s">
        <v>43</v>
      </c>
      <c r="F951" t="s">
        <v>22</v>
      </c>
    </row>
    <row r="952" spans="1:6" ht="15.6" x14ac:dyDescent="0.3">
      <c r="A952" s="81">
        <v>44116</v>
      </c>
      <c r="B952" s="29">
        <v>39</v>
      </c>
      <c r="C952" s="29">
        <v>39</v>
      </c>
      <c r="D952" s="29">
        <v>39</v>
      </c>
      <c r="E952" s="26" t="s">
        <v>43</v>
      </c>
      <c r="F952" t="s">
        <v>22</v>
      </c>
    </row>
    <row r="953" spans="1:6" ht="15.6" x14ac:dyDescent="0.3">
      <c r="A953" s="81">
        <v>44116</v>
      </c>
      <c r="B953" s="29">
        <v>32</v>
      </c>
      <c r="C953" s="29">
        <v>32</v>
      </c>
      <c r="D953" s="29">
        <v>32</v>
      </c>
      <c r="E953" s="26" t="s">
        <v>43</v>
      </c>
      <c r="F953" t="s">
        <v>22</v>
      </c>
    </row>
    <row r="954" spans="1:6" ht="15.6" x14ac:dyDescent="0.3">
      <c r="A954" s="81">
        <v>44116</v>
      </c>
      <c r="B954" s="29">
        <v>21</v>
      </c>
      <c r="C954" s="29">
        <v>21</v>
      </c>
      <c r="D954" s="29">
        <v>21</v>
      </c>
      <c r="E954" s="26" t="s">
        <v>43</v>
      </c>
      <c r="F954" t="s">
        <v>22</v>
      </c>
    </row>
    <row r="955" spans="1:6" ht="15.6" x14ac:dyDescent="0.3">
      <c r="A955" s="81">
        <v>44116</v>
      </c>
      <c r="B955" s="29">
        <v>22</v>
      </c>
      <c r="C955" s="29">
        <v>22</v>
      </c>
      <c r="D955" s="29">
        <v>22</v>
      </c>
      <c r="E955" s="26" t="s">
        <v>43</v>
      </c>
      <c r="F955" t="s">
        <v>22</v>
      </c>
    </row>
    <row r="956" spans="1:6" ht="15.6" x14ac:dyDescent="0.3">
      <c r="A956" s="81">
        <v>44117</v>
      </c>
      <c r="B956" s="29">
        <v>39</v>
      </c>
      <c r="C956" s="29">
        <v>39</v>
      </c>
      <c r="D956" s="29">
        <v>39</v>
      </c>
      <c r="E956" s="26" t="s">
        <v>43</v>
      </c>
      <c r="F956" t="s">
        <v>22</v>
      </c>
    </row>
    <row r="957" spans="1:6" ht="15.6" x14ac:dyDescent="0.3">
      <c r="A957" s="81">
        <v>44117</v>
      </c>
      <c r="B957" s="29">
        <v>20</v>
      </c>
      <c r="C957" s="29">
        <v>20</v>
      </c>
      <c r="D957" s="29">
        <v>20</v>
      </c>
      <c r="E957" s="26" t="s">
        <v>43</v>
      </c>
      <c r="F957" t="s">
        <v>22</v>
      </c>
    </row>
    <row r="958" spans="1:6" ht="15.6" x14ac:dyDescent="0.3">
      <c r="A958" s="81">
        <v>44127</v>
      </c>
      <c r="B958" s="29">
        <v>15</v>
      </c>
      <c r="C958" s="29">
        <v>15</v>
      </c>
      <c r="D958" s="29">
        <v>15</v>
      </c>
      <c r="E958" s="26" t="s">
        <v>43</v>
      </c>
      <c r="F958" t="s">
        <v>22</v>
      </c>
    </row>
    <row r="959" spans="1:6" ht="15.6" x14ac:dyDescent="0.3">
      <c r="A959" s="81">
        <v>44127</v>
      </c>
      <c r="B959" s="29">
        <v>10</v>
      </c>
      <c r="C959" s="29">
        <v>10</v>
      </c>
      <c r="D959" s="29">
        <v>10</v>
      </c>
      <c r="E959" s="26" t="s">
        <v>43</v>
      </c>
      <c r="F959" t="s">
        <v>22</v>
      </c>
    </row>
    <row r="960" spans="1:6" ht="15.6" x14ac:dyDescent="0.3">
      <c r="A960" s="81">
        <v>44127</v>
      </c>
      <c r="B960" s="29">
        <f>15-12</f>
        <v>3</v>
      </c>
      <c r="C960" s="29">
        <f>15-12</f>
        <v>3</v>
      </c>
      <c r="D960" s="29">
        <f>15-12</f>
        <v>3</v>
      </c>
      <c r="E960" s="26" t="s">
        <v>43</v>
      </c>
      <c r="F960" t="s">
        <v>22</v>
      </c>
    </row>
    <row r="961" spans="1:6" ht="15.6" x14ac:dyDescent="0.3">
      <c r="A961" s="81">
        <v>44127</v>
      </c>
      <c r="B961" s="29">
        <v>11</v>
      </c>
      <c r="C961" s="29">
        <v>11</v>
      </c>
      <c r="D961" s="29">
        <v>11</v>
      </c>
      <c r="E961" s="26" t="s">
        <v>43</v>
      </c>
      <c r="F961" t="s">
        <v>22</v>
      </c>
    </row>
    <row r="962" spans="1:6" ht="15.6" x14ac:dyDescent="0.3">
      <c r="A962" s="81">
        <v>44127</v>
      </c>
      <c r="B962" s="29">
        <f>12-1</f>
        <v>11</v>
      </c>
      <c r="C962" s="29">
        <f>12-1</f>
        <v>11</v>
      </c>
      <c r="D962" s="29">
        <f>12-1</f>
        <v>11</v>
      </c>
      <c r="E962" s="26" t="s">
        <v>43</v>
      </c>
      <c r="F962" t="s">
        <v>22</v>
      </c>
    </row>
    <row r="963" spans="1:6" ht="15.6" x14ac:dyDescent="0.3">
      <c r="A963" s="81">
        <v>44127</v>
      </c>
      <c r="B963" s="29">
        <f>12-8</f>
        <v>4</v>
      </c>
      <c r="C963" s="29">
        <f>12-8</f>
        <v>4</v>
      </c>
      <c r="D963" s="29">
        <f>12-8</f>
        <v>4</v>
      </c>
      <c r="E963" s="26" t="s">
        <v>43</v>
      </c>
      <c r="F963" t="s">
        <v>22</v>
      </c>
    </row>
    <row r="964" spans="1:6" ht="15.6" x14ac:dyDescent="0.3">
      <c r="A964" s="81">
        <v>44127</v>
      </c>
      <c r="B964" s="29">
        <v>11</v>
      </c>
      <c r="C964" s="29">
        <v>11</v>
      </c>
      <c r="D964" s="29">
        <v>11</v>
      </c>
      <c r="E964" s="26" t="s">
        <v>43</v>
      </c>
      <c r="F964" t="s">
        <v>22</v>
      </c>
    </row>
    <row r="965" spans="1:6" ht="15.6" x14ac:dyDescent="0.3">
      <c r="A965" s="81">
        <v>44130</v>
      </c>
      <c r="B965" s="29">
        <v>12</v>
      </c>
      <c r="C965" s="29">
        <v>12</v>
      </c>
      <c r="D965" s="29">
        <v>12</v>
      </c>
      <c r="E965" s="26" t="s">
        <v>43</v>
      </c>
      <c r="F965" t="s">
        <v>22</v>
      </c>
    </row>
    <row r="966" spans="1:6" ht="15.6" x14ac:dyDescent="0.3">
      <c r="A966" s="81">
        <v>44130</v>
      </c>
      <c r="B966" s="29">
        <v>11</v>
      </c>
      <c r="C966" s="29">
        <v>11</v>
      </c>
      <c r="D966" s="29">
        <v>11</v>
      </c>
      <c r="E966" s="26" t="s">
        <v>43</v>
      </c>
      <c r="F966" t="s">
        <v>22</v>
      </c>
    </row>
    <row r="967" spans="1:6" ht="15.6" x14ac:dyDescent="0.3">
      <c r="A967" s="81">
        <v>44130</v>
      </c>
      <c r="B967" s="29">
        <f>22-17</f>
        <v>5</v>
      </c>
      <c r="C967" s="29">
        <f>22-17</f>
        <v>5</v>
      </c>
      <c r="D967" s="29">
        <f>22-17</f>
        <v>5</v>
      </c>
      <c r="E967" s="26" t="s">
        <v>43</v>
      </c>
      <c r="F967" t="s">
        <v>22</v>
      </c>
    </row>
    <row r="968" spans="1:6" ht="15.6" x14ac:dyDescent="0.3">
      <c r="A968" s="81">
        <v>44130</v>
      </c>
      <c r="B968" s="29">
        <f>17-1</f>
        <v>16</v>
      </c>
      <c r="C968" s="29">
        <f>17-1</f>
        <v>16</v>
      </c>
      <c r="D968" s="29">
        <f>17-1</f>
        <v>16</v>
      </c>
      <c r="E968" s="26" t="s">
        <v>43</v>
      </c>
      <c r="F968" t="s">
        <v>22</v>
      </c>
    </row>
    <row r="969" spans="1:6" ht="15.6" x14ac:dyDescent="0.3">
      <c r="A969" s="81">
        <v>44131</v>
      </c>
      <c r="B969" s="29">
        <f>13-2</f>
        <v>11</v>
      </c>
      <c r="C969" s="29">
        <f>13-2</f>
        <v>11</v>
      </c>
      <c r="D969" s="29">
        <f>13-2</f>
        <v>11</v>
      </c>
      <c r="E969" s="26" t="s">
        <v>43</v>
      </c>
      <c r="F969" t="s">
        <v>22</v>
      </c>
    </row>
    <row r="970" spans="1:6" ht="15.6" x14ac:dyDescent="0.3">
      <c r="A970" s="81">
        <v>44131</v>
      </c>
      <c r="B970" s="29">
        <f>10-1</f>
        <v>9</v>
      </c>
      <c r="C970" s="29">
        <f>10-1</f>
        <v>9</v>
      </c>
      <c r="D970" s="29">
        <f>10-1</f>
        <v>9</v>
      </c>
      <c r="E970" s="26" t="s">
        <v>43</v>
      </c>
      <c r="F970" t="s">
        <v>22</v>
      </c>
    </row>
    <row r="971" spans="1:6" ht="15.6" x14ac:dyDescent="0.3">
      <c r="A971" s="81">
        <v>44131</v>
      </c>
      <c r="B971" s="29">
        <f>9-1-2</f>
        <v>6</v>
      </c>
      <c r="C971" s="29">
        <f>9-1-2</f>
        <v>6</v>
      </c>
      <c r="D971" s="29">
        <f>9-1-2</f>
        <v>6</v>
      </c>
      <c r="E971" s="26" t="s">
        <v>43</v>
      </c>
      <c r="F971" t="s">
        <v>22</v>
      </c>
    </row>
    <row r="972" spans="1:6" ht="15.6" x14ac:dyDescent="0.3">
      <c r="A972" s="81">
        <v>44132</v>
      </c>
      <c r="B972" s="29">
        <f>13-1</f>
        <v>12</v>
      </c>
      <c r="C972" s="29">
        <f>13-1</f>
        <v>12</v>
      </c>
      <c r="D972" s="29">
        <f>13-1</f>
        <v>12</v>
      </c>
      <c r="E972" s="26" t="s">
        <v>43</v>
      </c>
      <c r="F972" t="s">
        <v>22</v>
      </c>
    </row>
    <row r="973" spans="1:6" ht="15.6" x14ac:dyDescent="0.3">
      <c r="A973" s="81">
        <v>44132</v>
      </c>
      <c r="B973" s="29">
        <f>13-7</f>
        <v>6</v>
      </c>
      <c r="C973" s="29">
        <f>13-7</f>
        <v>6</v>
      </c>
      <c r="D973" s="29">
        <f>13-7</f>
        <v>6</v>
      </c>
      <c r="E973" s="26" t="s">
        <v>43</v>
      </c>
      <c r="F973" t="s">
        <v>22</v>
      </c>
    </row>
    <row r="974" spans="1:6" ht="15.6" x14ac:dyDescent="0.3">
      <c r="A974" s="81">
        <v>44132</v>
      </c>
      <c r="B974" s="29">
        <f>14-10</f>
        <v>4</v>
      </c>
      <c r="C974" s="29">
        <f>14-10</f>
        <v>4</v>
      </c>
      <c r="D974" s="29">
        <f>14-10</f>
        <v>4</v>
      </c>
      <c r="E974" s="26" t="s">
        <v>43</v>
      </c>
      <c r="F974" t="s">
        <v>22</v>
      </c>
    </row>
    <row r="975" spans="1:6" ht="15.6" x14ac:dyDescent="0.3">
      <c r="A975" s="81">
        <v>44132</v>
      </c>
      <c r="B975" s="29">
        <f>10-8</f>
        <v>2</v>
      </c>
      <c r="C975" s="29">
        <f>10-8</f>
        <v>2</v>
      </c>
      <c r="D975" s="29">
        <f>10-8</f>
        <v>2</v>
      </c>
      <c r="E975" s="26" t="s">
        <v>43</v>
      </c>
      <c r="F975" t="s">
        <v>22</v>
      </c>
    </row>
    <row r="976" spans="1:6" ht="15.6" x14ac:dyDescent="0.3">
      <c r="A976" s="81">
        <v>44139</v>
      </c>
      <c r="B976" s="29">
        <f>11-10</f>
        <v>1</v>
      </c>
      <c r="C976" s="29">
        <f>11-10</f>
        <v>1</v>
      </c>
      <c r="D976" s="29">
        <f>11-10</f>
        <v>1</v>
      </c>
      <c r="E976" s="26" t="s">
        <v>43</v>
      </c>
      <c r="F976" t="s">
        <v>22</v>
      </c>
    </row>
    <row r="977" spans="1:6" ht="15.6" x14ac:dyDescent="0.3">
      <c r="A977" s="81">
        <v>44139</v>
      </c>
      <c r="B977" s="29">
        <v>20</v>
      </c>
      <c r="C977" s="29">
        <v>20</v>
      </c>
      <c r="D977" s="29">
        <v>20</v>
      </c>
      <c r="E977" s="26" t="s">
        <v>43</v>
      </c>
      <c r="F977" t="s">
        <v>22</v>
      </c>
    </row>
    <row r="978" spans="1:6" ht="15.6" x14ac:dyDescent="0.3">
      <c r="A978" s="81">
        <v>44139</v>
      </c>
      <c r="B978" s="29">
        <v>20</v>
      </c>
      <c r="C978" s="29">
        <v>20</v>
      </c>
      <c r="D978" s="29">
        <v>20</v>
      </c>
      <c r="E978" s="26" t="s">
        <v>43</v>
      </c>
      <c r="F978" t="s">
        <v>22</v>
      </c>
    </row>
    <row r="979" spans="1:6" ht="15.6" x14ac:dyDescent="0.3">
      <c r="A979" s="81">
        <v>44139</v>
      </c>
      <c r="B979" s="29">
        <v>22</v>
      </c>
      <c r="C979" s="29">
        <v>22</v>
      </c>
      <c r="D979" s="29">
        <v>22</v>
      </c>
      <c r="E979" s="26" t="s">
        <v>43</v>
      </c>
      <c r="F979" t="s">
        <v>22</v>
      </c>
    </row>
    <row r="980" spans="1:6" ht="15.6" x14ac:dyDescent="0.3">
      <c r="A980" s="81">
        <v>44140</v>
      </c>
      <c r="B980" s="45">
        <f>34-5</f>
        <v>29</v>
      </c>
      <c r="C980" s="45">
        <f>34-5</f>
        <v>29</v>
      </c>
      <c r="D980" s="45">
        <f>34-5</f>
        <v>29</v>
      </c>
      <c r="E980" s="26" t="s">
        <v>43</v>
      </c>
      <c r="F980" t="s">
        <v>22</v>
      </c>
    </row>
    <row r="981" spans="1:6" ht="15.6" x14ac:dyDescent="0.3">
      <c r="A981" s="81">
        <v>44140</v>
      </c>
      <c r="B981" s="45">
        <v>33</v>
      </c>
      <c r="C981" s="45">
        <v>33</v>
      </c>
      <c r="D981" s="45">
        <v>33</v>
      </c>
      <c r="E981" s="26" t="s">
        <v>43</v>
      </c>
      <c r="F981" t="s">
        <v>22</v>
      </c>
    </row>
    <row r="982" spans="1:6" ht="15.6" x14ac:dyDescent="0.3">
      <c r="A982" s="81">
        <v>44140</v>
      </c>
      <c r="B982" s="45">
        <v>23</v>
      </c>
      <c r="C982" s="45">
        <v>23</v>
      </c>
      <c r="D982" s="45">
        <v>23</v>
      </c>
      <c r="E982" s="26" t="s">
        <v>43</v>
      </c>
      <c r="F982" t="s">
        <v>22</v>
      </c>
    </row>
    <row r="983" spans="1:6" ht="15.6" x14ac:dyDescent="0.3">
      <c r="A983" s="81">
        <v>44141</v>
      </c>
      <c r="B983" s="45">
        <v>32</v>
      </c>
      <c r="C983" s="45">
        <v>32</v>
      </c>
      <c r="D983" s="45">
        <v>32</v>
      </c>
      <c r="E983" s="26" t="s">
        <v>43</v>
      </c>
      <c r="F983" t="s">
        <v>22</v>
      </c>
    </row>
    <row r="984" spans="1:6" ht="15.6" x14ac:dyDescent="0.3">
      <c r="A984" s="81">
        <v>44141</v>
      </c>
      <c r="B984" s="45">
        <v>23</v>
      </c>
      <c r="C984" s="45">
        <v>23</v>
      </c>
      <c r="D984" s="45">
        <v>23</v>
      </c>
      <c r="E984" s="26" t="s">
        <v>43</v>
      </c>
      <c r="F984" t="s">
        <v>22</v>
      </c>
    </row>
    <row r="985" spans="1:6" ht="15.6" x14ac:dyDescent="0.3">
      <c r="A985" s="81">
        <v>44141</v>
      </c>
      <c r="B985" s="45">
        <v>21</v>
      </c>
      <c r="C985" s="45">
        <v>21</v>
      </c>
      <c r="D985" s="45">
        <v>21</v>
      </c>
      <c r="E985" s="26" t="s">
        <v>43</v>
      </c>
      <c r="F985" t="s">
        <v>22</v>
      </c>
    </row>
    <row r="986" spans="1:6" ht="15.6" x14ac:dyDescent="0.3">
      <c r="A986" s="81">
        <v>44141</v>
      </c>
      <c r="B986" s="45">
        <v>19</v>
      </c>
      <c r="C986" s="45">
        <v>19</v>
      </c>
      <c r="D986" s="45">
        <v>19</v>
      </c>
      <c r="E986" s="26" t="s">
        <v>43</v>
      </c>
      <c r="F986" t="s">
        <v>22</v>
      </c>
    </row>
    <row r="987" spans="1:6" ht="15.6" x14ac:dyDescent="0.3">
      <c r="A987" s="81">
        <v>44144</v>
      </c>
      <c r="B987" s="29">
        <f>42-3</f>
        <v>39</v>
      </c>
      <c r="C987" s="29">
        <f>42-3</f>
        <v>39</v>
      </c>
      <c r="D987" s="29">
        <f>42-3</f>
        <v>39</v>
      </c>
      <c r="E987" s="26" t="s">
        <v>43</v>
      </c>
      <c r="F987" t="s">
        <v>22</v>
      </c>
    </row>
    <row r="988" spans="1:6" ht="15.6" x14ac:dyDescent="0.3">
      <c r="A988" s="81">
        <v>44144</v>
      </c>
      <c r="B988" s="29">
        <v>20</v>
      </c>
      <c r="C988" s="29">
        <v>20</v>
      </c>
      <c r="D988" s="29">
        <v>20</v>
      </c>
      <c r="E988" s="26" t="s">
        <v>43</v>
      </c>
      <c r="F988" t="s">
        <v>22</v>
      </c>
    </row>
    <row r="989" spans="1:6" ht="15.6" x14ac:dyDescent="0.3">
      <c r="A989" s="81">
        <v>44147</v>
      </c>
      <c r="B989" s="29">
        <v>16</v>
      </c>
      <c r="C989" s="29">
        <v>16</v>
      </c>
      <c r="D989" s="29">
        <v>16</v>
      </c>
      <c r="E989" s="26" t="s">
        <v>43</v>
      </c>
      <c r="F989" t="s">
        <v>22</v>
      </c>
    </row>
    <row r="990" spans="1:6" ht="15.6" x14ac:dyDescent="0.3">
      <c r="A990" s="81">
        <v>44147</v>
      </c>
      <c r="B990" s="29">
        <v>18</v>
      </c>
      <c r="C990" s="29">
        <v>18</v>
      </c>
      <c r="D990" s="29">
        <v>18</v>
      </c>
      <c r="E990" s="26" t="s">
        <v>43</v>
      </c>
      <c r="F990" t="s">
        <v>22</v>
      </c>
    </row>
    <row r="991" spans="1:6" ht="15.6" x14ac:dyDescent="0.3">
      <c r="A991" s="81">
        <v>44147</v>
      </c>
      <c r="B991" s="29">
        <v>15</v>
      </c>
      <c r="C991" s="29">
        <v>15</v>
      </c>
      <c r="D991" s="29">
        <v>15</v>
      </c>
      <c r="E991" s="26" t="s">
        <v>43</v>
      </c>
      <c r="F991" t="s">
        <v>22</v>
      </c>
    </row>
    <row r="992" spans="1:6" ht="15.6" x14ac:dyDescent="0.3">
      <c r="A992" s="81">
        <v>44148</v>
      </c>
      <c r="B992" s="29">
        <f>41-12</f>
        <v>29</v>
      </c>
      <c r="C992" s="29">
        <f>41-12</f>
        <v>29</v>
      </c>
      <c r="D992" s="29">
        <f>41-12</f>
        <v>29</v>
      </c>
      <c r="E992" s="26" t="s">
        <v>43</v>
      </c>
      <c r="F992" t="s">
        <v>22</v>
      </c>
    </row>
    <row r="993" spans="1:6" ht="15.6" x14ac:dyDescent="0.3">
      <c r="A993" s="81">
        <v>44148</v>
      </c>
      <c r="B993" s="29">
        <v>24</v>
      </c>
      <c r="C993" s="29">
        <v>24</v>
      </c>
      <c r="D993" s="29">
        <v>24</v>
      </c>
      <c r="E993" s="26" t="s">
        <v>43</v>
      </c>
      <c r="F993" t="s">
        <v>22</v>
      </c>
    </row>
    <row r="994" spans="1:6" ht="15.6" x14ac:dyDescent="0.3">
      <c r="A994" s="81">
        <v>44148</v>
      </c>
      <c r="B994" s="29">
        <v>26</v>
      </c>
      <c r="C994" s="29">
        <v>26</v>
      </c>
      <c r="D994" s="29">
        <v>26</v>
      </c>
      <c r="E994" s="26" t="s">
        <v>43</v>
      </c>
      <c r="F994" t="s">
        <v>22</v>
      </c>
    </row>
    <row r="995" spans="1:6" ht="15.6" x14ac:dyDescent="0.3">
      <c r="A995" s="82">
        <v>45034</v>
      </c>
      <c r="B995" s="29">
        <v>1</v>
      </c>
      <c r="C995" s="29">
        <v>1</v>
      </c>
      <c r="D995" s="29"/>
      <c r="E995" s="26" t="s">
        <v>43</v>
      </c>
      <c r="F995" t="s">
        <v>22</v>
      </c>
    </row>
    <row r="996" spans="1:6" ht="15.6" x14ac:dyDescent="0.3">
      <c r="A996" s="83">
        <v>44214</v>
      </c>
      <c r="B996" s="29">
        <v>10</v>
      </c>
      <c r="C996" s="29"/>
      <c r="D996" s="29"/>
      <c r="E996" s="26" t="s">
        <v>43</v>
      </c>
      <c r="F996" t="s">
        <v>21</v>
      </c>
    </row>
    <row r="997" spans="1:6" ht="15.6" x14ac:dyDescent="0.3">
      <c r="A997" s="83">
        <v>44214</v>
      </c>
      <c r="B997" s="29">
        <v>16</v>
      </c>
      <c r="C997" s="11"/>
      <c r="D997" s="11"/>
      <c r="E997" s="26" t="s">
        <v>43</v>
      </c>
      <c r="F997" t="s">
        <v>21</v>
      </c>
    </row>
    <row r="998" spans="1:6" ht="15.6" x14ac:dyDescent="0.3">
      <c r="A998" s="83">
        <v>44214</v>
      </c>
      <c r="B998" s="29">
        <v>15</v>
      </c>
      <c r="C998" s="29">
        <v>15</v>
      </c>
      <c r="D998" s="29">
        <v>15</v>
      </c>
      <c r="E998" s="26" t="s">
        <v>43</v>
      </c>
      <c r="F998" t="s">
        <v>21</v>
      </c>
    </row>
    <row r="999" spans="1:6" ht="15.6" x14ac:dyDescent="0.3">
      <c r="A999" s="83">
        <v>44214</v>
      </c>
      <c r="B999" s="29">
        <v>13</v>
      </c>
      <c r="C999" s="29">
        <v>13</v>
      </c>
      <c r="D999" s="29">
        <v>13</v>
      </c>
      <c r="E999" s="26" t="s">
        <v>43</v>
      </c>
      <c r="F999" t="s">
        <v>21</v>
      </c>
    </row>
    <row r="1000" spans="1:6" ht="15.6" x14ac:dyDescent="0.3">
      <c r="A1000" s="83">
        <v>44214</v>
      </c>
      <c r="B1000" s="29">
        <v>16</v>
      </c>
      <c r="C1000" s="29">
        <v>16</v>
      </c>
      <c r="D1000" s="29">
        <v>16</v>
      </c>
      <c r="E1000" s="26" t="s">
        <v>43</v>
      </c>
      <c r="F1000" t="s">
        <v>21</v>
      </c>
    </row>
    <row r="1001" spans="1:6" ht="15.6" x14ac:dyDescent="0.3">
      <c r="A1001" s="83">
        <v>44214</v>
      </c>
      <c r="B1001" s="29">
        <v>19</v>
      </c>
      <c r="C1001" s="29">
        <v>19</v>
      </c>
      <c r="D1001" s="29">
        <v>19</v>
      </c>
      <c r="E1001" s="26" t="s">
        <v>43</v>
      </c>
      <c r="F1001" t="s">
        <v>21</v>
      </c>
    </row>
    <row r="1002" spans="1:6" ht="15.6" x14ac:dyDescent="0.3">
      <c r="A1002" s="83">
        <v>44214</v>
      </c>
      <c r="B1002" s="29">
        <v>22</v>
      </c>
      <c r="C1002" s="29">
        <v>22</v>
      </c>
      <c r="D1002" s="29">
        <v>22</v>
      </c>
      <c r="E1002" s="26" t="s">
        <v>43</v>
      </c>
      <c r="F1002" t="s">
        <v>21</v>
      </c>
    </row>
    <row r="1003" spans="1:6" ht="15.6" x14ac:dyDescent="0.3">
      <c r="A1003" s="83">
        <v>44214</v>
      </c>
      <c r="B1003" s="29">
        <v>24</v>
      </c>
      <c r="C1003" s="29">
        <v>24</v>
      </c>
      <c r="D1003" s="29">
        <v>24</v>
      </c>
      <c r="E1003" s="26" t="s">
        <v>43</v>
      </c>
      <c r="F1003" t="s">
        <v>21</v>
      </c>
    </row>
    <row r="1004" spans="1:6" ht="15.6" x14ac:dyDescent="0.3">
      <c r="A1004" s="83">
        <v>44214</v>
      </c>
      <c r="B1004" s="29">
        <v>16</v>
      </c>
      <c r="C1004" s="29">
        <v>16</v>
      </c>
      <c r="D1004" s="29">
        <v>16</v>
      </c>
      <c r="E1004" s="26" t="s">
        <v>43</v>
      </c>
      <c r="F1004" t="s">
        <v>21</v>
      </c>
    </row>
    <row r="1005" spans="1:6" ht="15.6" x14ac:dyDescent="0.3">
      <c r="A1005" s="83">
        <v>44214</v>
      </c>
      <c r="B1005" s="29">
        <v>17</v>
      </c>
      <c r="C1005" s="29">
        <v>17</v>
      </c>
      <c r="D1005" s="29">
        <v>17</v>
      </c>
      <c r="E1005" s="26" t="s">
        <v>43</v>
      </c>
      <c r="F1005" t="s">
        <v>21</v>
      </c>
    </row>
    <row r="1006" spans="1:6" ht="15.6" x14ac:dyDescent="0.3">
      <c r="A1006" s="83">
        <v>44214</v>
      </c>
      <c r="B1006" s="29">
        <v>20</v>
      </c>
      <c r="C1006" s="29">
        <v>20</v>
      </c>
      <c r="D1006" s="29">
        <v>20</v>
      </c>
      <c r="E1006" s="26" t="s">
        <v>43</v>
      </c>
      <c r="F1006" t="s">
        <v>21</v>
      </c>
    </row>
    <row r="1007" spans="1:6" ht="15.6" x14ac:dyDescent="0.3">
      <c r="A1007" s="83">
        <v>44214</v>
      </c>
      <c r="B1007" s="29">
        <v>17</v>
      </c>
      <c r="C1007" s="29">
        <v>17</v>
      </c>
      <c r="D1007" s="29">
        <v>17</v>
      </c>
      <c r="E1007" s="26" t="s">
        <v>43</v>
      </c>
      <c r="F1007" t="s">
        <v>21</v>
      </c>
    </row>
    <row r="1008" spans="1:6" ht="15.6" x14ac:dyDescent="0.3">
      <c r="A1008" s="83">
        <v>44214</v>
      </c>
      <c r="B1008" s="29">
        <v>20</v>
      </c>
      <c r="C1008" s="29">
        <v>20</v>
      </c>
      <c r="D1008" s="29">
        <v>20</v>
      </c>
      <c r="E1008" s="26" t="s">
        <v>43</v>
      </c>
      <c r="F1008" t="s">
        <v>21</v>
      </c>
    </row>
    <row r="1009" spans="1:6" ht="15.6" x14ac:dyDescent="0.3">
      <c r="A1009" s="83">
        <v>44214</v>
      </c>
      <c r="B1009" s="29">
        <v>21</v>
      </c>
      <c r="C1009" s="29">
        <v>21</v>
      </c>
      <c r="D1009" s="29">
        <v>21</v>
      </c>
      <c r="E1009" s="26" t="s">
        <v>43</v>
      </c>
      <c r="F1009" t="s">
        <v>21</v>
      </c>
    </row>
    <row r="1010" spans="1:6" ht="15.6" x14ac:dyDescent="0.3">
      <c r="A1010" s="83">
        <v>44214</v>
      </c>
      <c r="B1010" s="29">
        <v>24</v>
      </c>
      <c r="C1010" s="11"/>
      <c r="D1010" s="11"/>
      <c r="E1010" s="26" t="s">
        <v>43</v>
      </c>
      <c r="F1010" t="s">
        <v>21</v>
      </c>
    </row>
    <row r="1011" spans="1:6" ht="15.6" x14ac:dyDescent="0.3">
      <c r="A1011" s="83">
        <v>44214</v>
      </c>
      <c r="B1011" s="48">
        <v>23</v>
      </c>
      <c r="C1011" s="11"/>
      <c r="D1011" s="11"/>
      <c r="E1011" s="26" t="s">
        <v>43</v>
      </c>
      <c r="F1011" t="s">
        <v>21</v>
      </c>
    </row>
    <row r="1012" spans="1:6" ht="15.6" x14ac:dyDescent="0.3">
      <c r="A1012" s="83">
        <v>44214</v>
      </c>
      <c r="B1012" s="29">
        <v>24</v>
      </c>
      <c r="C1012" s="11"/>
      <c r="D1012" s="11"/>
      <c r="E1012" s="26" t="s">
        <v>43</v>
      </c>
      <c r="F1012" t="s">
        <v>21</v>
      </c>
    </row>
    <row r="1013" spans="1:6" ht="15.6" x14ac:dyDescent="0.3">
      <c r="A1013" s="83">
        <v>44214</v>
      </c>
      <c r="B1013" s="29">
        <v>23</v>
      </c>
      <c r="C1013" s="11"/>
      <c r="D1013" s="11"/>
      <c r="E1013" s="26" t="s">
        <v>43</v>
      </c>
      <c r="F1013" t="s">
        <v>21</v>
      </c>
    </row>
    <row r="1014" spans="1:6" ht="15.6" x14ac:dyDescent="0.3">
      <c r="A1014" s="83">
        <v>44214</v>
      </c>
      <c r="B1014" s="29">
        <v>23</v>
      </c>
      <c r="C1014" s="11"/>
      <c r="D1014" s="11"/>
      <c r="E1014" s="26" t="s">
        <v>43</v>
      </c>
      <c r="F1014" t="s">
        <v>21</v>
      </c>
    </row>
    <row r="1015" spans="1:6" ht="15.6" x14ac:dyDescent="0.3">
      <c r="A1015" s="83">
        <v>44214</v>
      </c>
      <c r="B1015" s="29">
        <v>24</v>
      </c>
      <c r="C1015" s="11"/>
      <c r="D1015" s="11"/>
      <c r="E1015" s="26" t="s">
        <v>43</v>
      </c>
      <c r="F1015" t="s">
        <v>21</v>
      </c>
    </row>
    <row r="1016" spans="1:6" ht="15.6" x14ac:dyDescent="0.3">
      <c r="A1016" s="83">
        <v>44214</v>
      </c>
      <c r="B1016" s="29">
        <v>28</v>
      </c>
      <c r="C1016" s="11"/>
      <c r="D1016" s="11"/>
      <c r="E1016" s="26" t="s">
        <v>43</v>
      </c>
      <c r="F1016" t="s">
        <v>21</v>
      </c>
    </row>
    <row r="1017" spans="1:6" ht="15.6" x14ac:dyDescent="0.3">
      <c r="A1017" s="83">
        <v>44214</v>
      </c>
      <c r="B1017" s="29">
        <v>21</v>
      </c>
      <c r="C1017" s="11"/>
      <c r="D1017" s="11"/>
      <c r="E1017" s="26" t="s">
        <v>43</v>
      </c>
      <c r="F1017" t="s">
        <v>21</v>
      </c>
    </row>
    <row r="1018" spans="1:6" ht="15.6" x14ac:dyDescent="0.3">
      <c r="A1018" s="83">
        <v>44214</v>
      </c>
      <c r="B1018" s="29">
        <v>22</v>
      </c>
      <c r="C1018" s="29">
        <v>22</v>
      </c>
      <c r="D1018" s="29">
        <v>22</v>
      </c>
      <c r="E1018" s="26" t="s">
        <v>43</v>
      </c>
      <c r="F1018" t="s">
        <v>21</v>
      </c>
    </row>
    <row r="1019" spans="1:6" ht="15.6" x14ac:dyDescent="0.3">
      <c r="A1019" s="83">
        <v>44214</v>
      </c>
      <c r="B1019" s="29">
        <v>15</v>
      </c>
      <c r="C1019" s="29">
        <v>15</v>
      </c>
      <c r="D1019" s="29">
        <v>15</v>
      </c>
      <c r="E1019" s="26" t="s">
        <v>43</v>
      </c>
      <c r="F1019" t="s">
        <v>21</v>
      </c>
    </row>
    <row r="1020" spans="1:6" ht="15.6" x14ac:dyDescent="0.3">
      <c r="A1020" s="83">
        <v>44214</v>
      </c>
      <c r="B1020" s="29">
        <v>23</v>
      </c>
      <c r="C1020" s="29">
        <v>23</v>
      </c>
      <c r="D1020" s="29">
        <v>23</v>
      </c>
      <c r="E1020" s="26" t="s">
        <v>43</v>
      </c>
      <c r="F1020" t="s">
        <v>21</v>
      </c>
    </row>
    <row r="1021" spans="1:6" ht="15.6" x14ac:dyDescent="0.3">
      <c r="A1021" s="83">
        <v>44214</v>
      </c>
      <c r="B1021" s="29">
        <v>26</v>
      </c>
      <c r="C1021" s="29">
        <v>26</v>
      </c>
      <c r="D1021" s="29">
        <v>26</v>
      </c>
      <c r="E1021" s="26" t="s">
        <v>43</v>
      </c>
      <c r="F1021" t="s">
        <v>21</v>
      </c>
    </row>
    <row r="1022" spans="1:6" ht="15.6" x14ac:dyDescent="0.3">
      <c r="A1022" s="83">
        <v>44214</v>
      </c>
      <c r="B1022" s="29">
        <v>25</v>
      </c>
      <c r="C1022" s="29">
        <v>25</v>
      </c>
      <c r="D1022" s="29">
        <v>25</v>
      </c>
      <c r="E1022" s="26" t="s">
        <v>43</v>
      </c>
      <c r="F1022" t="s">
        <v>21</v>
      </c>
    </row>
    <row r="1023" spans="1:6" ht="15.6" x14ac:dyDescent="0.3">
      <c r="A1023" s="83">
        <v>44214</v>
      </c>
      <c r="B1023" s="29">
        <v>29</v>
      </c>
      <c r="C1023" s="29">
        <v>29</v>
      </c>
      <c r="D1023" s="29">
        <v>29</v>
      </c>
      <c r="E1023" s="26" t="s">
        <v>43</v>
      </c>
      <c r="F1023" t="s">
        <v>21</v>
      </c>
    </row>
    <row r="1024" spans="1:6" ht="15.6" x14ac:dyDescent="0.3">
      <c r="A1024" s="83">
        <v>44214</v>
      </c>
      <c r="B1024" s="29">
        <v>30</v>
      </c>
      <c r="C1024" s="29">
        <v>30</v>
      </c>
      <c r="D1024" s="29">
        <v>30</v>
      </c>
      <c r="E1024" s="26" t="s">
        <v>43</v>
      </c>
      <c r="F1024" t="s">
        <v>21</v>
      </c>
    </row>
    <row r="1025" spans="1:6" ht="15.6" x14ac:dyDescent="0.3">
      <c r="A1025" s="83">
        <v>44214</v>
      </c>
      <c r="B1025" s="29">
        <v>33</v>
      </c>
      <c r="C1025" s="29">
        <v>33</v>
      </c>
      <c r="D1025" s="29">
        <v>33</v>
      </c>
      <c r="E1025" s="26" t="s">
        <v>43</v>
      </c>
      <c r="F1025" t="s">
        <v>21</v>
      </c>
    </row>
    <row r="1026" spans="1:6" ht="15.6" x14ac:dyDescent="0.3">
      <c r="A1026" s="83">
        <v>44214</v>
      </c>
      <c r="B1026" s="29">
        <v>12</v>
      </c>
      <c r="C1026" s="11"/>
      <c r="D1026" s="11"/>
      <c r="E1026" s="26" t="s">
        <v>43</v>
      </c>
      <c r="F1026" t="s">
        <v>21</v>
      </c>
    </row>
    <row r="1027" spans="1:6" ht="15.6" x14ac:dyDescent="0.3">
      <c r="A1027" s="83">
        <v>44214</v>
      </c>
      <c r="B1027" s="29">
        <v>13</v>
      </c>
      <c r="C1027" s="11"/>
      <c r="D1027" s="11"/>
      <c r="E1027" s="26" t="s">
        <v>43</v>
      </c>
      <c r="F1027" t="s">
        <v>21</v>
      </c>
    </row>
    <row r="1028" spans="1:6" ht="15.6" x14ac:dyDescent="0.3">
      <c r="A1028" s="83">
        <v>44214</v>
      </c>
      <c r="B1028" s="29">
        <v>12</v>
      </c>
      <c r="C1028" s="11"/>
      <c r="D1028" s="11"/>
      <c r="E1028" s="26" t="s">
        <v>43</v>
      </c>
      <c r="F1028" t="s">
        <v>21</v>
      </c>
    </row>
    <row r="1029" spans="1:6" ht="15.6" x14ac:dyDescent="0.3">
      <c r="A1029" s="83">
        <v>44214</v>
      </c>
      <c r="B1029" s="29">
        <v>12</v>
      </c>
      <c r="C1029" s="11"/>
      <c r="D1029" s="11"/>
      <c r="E1029" s="26" t="s">
        <v>43</v>
      </c>
      <c r="F1029" t="s">
        <v>21</v>
      </c>
    </row>
    <row r="1030" spans="1:6" ht="15.6" x14ac:dyDescent="0.3">
      <c r="A1030" s="83">
        <v>44214</v>
      </c>
      <c r="B1030" s="29">
        <v>12</v>
      </c>
      <c r="C1030" s="11"/>
      <c r="D1030" s="11"/>
      <c r="E1030" s="26" t="s">
        <v>43</v>
      </c>
      <c r="F1030" t="s">
        <v>21</v>
      </c>
    </row>
    <row r="1031" spans="1:6" ht="15.6" x14ac:dyDescent="0.3">
      <c r="A1031" s="83">
        <v>44214</v>
      </c>
      <c r="B1031" s="29">
        <v>10</v>
      </c>
      <c r="C1031" s="11"/>
      <c r="D1031" s="11"/>
      <c r="E1031" s="26" t="s">
        <v>43</v>
      </c>
      <c r="F1031" t="s">
        <v>21</v>
      </c>
    </row>
    <row r="1032" spans="1:6" ht="15.6" x14ac:dyDescent="0.3">
      <c r="A1032" s="83">
        <v>44214</v>
      </c>
      <c r="B1032" s="29">
        <v>14</v>
      </c>
      <c r="C1032" s="11"/>
      <c r="D1032" s="11"/>
      <c r="E1032" s="26" t="s">
        <v>43</v>
      </c>
      <c r="F1032" t="s">
        <v>21</v>
      </c>
    </row>
    <row r="1033" spans="1:6" ht="15.6" x14ac:dyDescent="0.3">
      <c r="A1033" s="83">
        <v>44214</v>
      </c>
      <c r="B1033" s="29">
        <v>13</v>
      </c>
      <c r="C1033" s="11"/>
      <c r="D1033" s="11"/>
      <c r="E1033" s="26" t="s">
        <v>43</v>
      </c>
      <c r="F1033" t="s">
        <v>21</v>
      </c>
    </row>
    <row r="1034" spans="1:6" ht="15.6" x14ac:dyDescent="0.3">
      <c r="A1034" s="83">
        <v>44214</v>
      </c>
      <c r="B1034" s="29">
        <v>15</v>
      </c>
      <c r="C1034" s="11"/>
      <c r="D1034" s="11"/>
      <c r="E1034" s="26" t="s">
        <v>43</v>
      </c>
      <c r="F1034" t="s">
        <v>21</v>
      </c>
    </row>
    <row r="1035" spans="1:6" ht="15.6" x14ac:dyDescent="0.3">
      <c r="A1035" s="83">
        <v>44214</v>
      </c>
      <c r="B1035" s="29">
        <v>11</v>
      </c>
      <c r="C1035" s="11"/>
      <c r="D1035" s="11"/>
      <c r="E1035" s="26" t="s">
        <v>43</v>
      </c>
      <c r="F1035" t="s">
        <v>21</v>
      </c>
    </row>
    <row r="1036" spans="1:6" ht="15.6" x14ac:dyDescent="0.3">
      <c r="A1036" s="83">
        <v>44214</v>
      </c>
      <c r="B1036" s="29">
        <v>14</v>
      </c>
      <c r="C1036" s="11"/>
      <c r="D1036" s="11"/>
      <c r="E1036" s="26" t="s">
        <v>43</v>
      </c>
      <c r="F1036" t="s">
        <v>21</v>
      </c>
    </row>
    <row r="1037" spans="1:6" ht="15.6" x14ac:dyDescent="0.3">
      <c r="A1037" s="83">
        <v>44214</v>
      </c>
      <c r="B1037" s="29">
        <v>14</v>
      </c>
      <c r="C1037" s="11"/>
      <c r="D1037" s="11"/>
      <c r="E1037" s="26" t="s">
        <v>43</v>
      </c>
      <c r="F1037" t="s">
        <v>21</v>
      </c>
    </row>
    <row r="1038" spans="1:6" ht="15.6" x14ac:dyDescent="0.3">
      <c r="A1038" s="83">
        <v>44214</v>
      </c>
      <c r="B1038" s="29">
        <v>16</v>
      </c>
      <c r="C1038" s="11"/>
      <c r="D1038" s="11"/>
      <c r="E1038" s="26" t="s">
        <v>43</v>
      </c>
      <c r="F1038" t="s">
        <v>21</v>
      </c>
    </row>
    <row r="1039" spans="1:6" ht="15.6" x14ac:dyDescent="0.3">
      <c r="A1039" s="84">
        <v>44236</v>
      </c>
      <c r="B1039" s="29">
        <v>12</v>
      </c>
      <c r="C1039" s="11"/>
      <c r="D1039" s="29"/>
      <c r="E1039" s="26" t="s">
        <v>43</v>
      </c>
      <c r="F1039" t="s">
        <v>21</v>
      </c>
    </row>
    <row r="1040" spans="1:6" ht="15.6" x14ac:dyDescent="0.3">
      <c r="A1040" s="84">
        <v>44236</v>
      </c>
      <c r="B1040" s="29">
        <v>11</v>
      </c>
      <c r="C1040" s="11"/>
      <c r="D1040" s="11"/>
      <c r="E1040" s="26" t="s">
        <v>43</v>
      </c>
      <c r="F1040" t="s">
        <v>21</v>
      </c>
    </row>
    <row r="1041" spans="1:6" ht="15.6" x14ac:dyDescent="0.3">
      <c r="A1041" s="84">
        <v>44236</v>
      </c>
      <c r="B1041" s="29">
        <v>13</v>
      </c>
      <c r="C1041" s="11"/>
      <c r="D1041" s="11"/>
      <c r="E1041" s="26" t="s">
        <v>43</v>
      </c>
      <c r="F1041" t="s">
        <v>21</v>
      </c>
    </row>
    <row r="1042" spans="1:6" ht="15.6" x14ac:dyDescent="0.3">
      <c r="A1042" s="84">
        <v>44236</v>
      </c>
      <c r="B1042" s="29">
        <v>16</v>
      </c>
      <c r="C1042" s="11"/>
      <c r="D1042" s="11"/>
      <c r="E1042" s="26" t="s">
        <v>43</v>
      </c>
      <c r="F1042" t="s">
        <v>21</v>
      </c>
    </row>
    <row r="1043" spans="1:6" ht="15.6" x14ac:dyDescent="0.3">
      <c r="A1043" s="84">
        <v>44236</v>
      </c>
      <c r="B1043" s="29">
        <v>12</v>
      </c>
      <c r="C1043" s="11"/>
      <c r="D1043" s="11"/>
      <c r="E1043" s="26" t="s">
        <v>43</v>
      </c>
      <c r="F1043" t="s">
        <v>21</v>
      </c>
    </row>
    <row r="1044" spans="1:6" ht="15.6" x14ac:dyDescent="0.3">
      <c r="A1044" s="84">
        <v>44236</v>
      </c>
      <c r="B1044" s="29">
        <v>10</v>
      </c>
      <c r="C1044" s="11"/>
      <c r="D1044" s="11"/>
      <c r="E1044" s="26" t="s">
        <v>43</v>
      </c>
      <c r="F1044" t="s">
        <v>21</v>
      </c>
    </row>
    <row r="1045" spans="1:6" ht="15.6" x14ac:dyDescent="0.3">
      <c r="A1045" s="84">
        <v>44236</v>
      </c>
      <c r="B1045" s="29">
        <v>10</v>
      </c>
      <c r="C1045" s="11"/>
      <c r="D1045" s="11"/>
      <c r="E1045" s="26" t="s">
        <v>43</v>
      </c>
      <c r="F1045" t="s">
        <v>21</v>
      </c>
    </row>
    <row r="1046" spans="1:6" ht="15.6" x14ac:dyDescent="0.3">
      <c r="A1046" s="84">
        <v>44236</v>
      </c>
      <c r="B1046" s="29">
        <v>11</v>
      </c>
      <c r="C1046" s="11"/>
      <c r="D1046" s="11"/>
      <c r="E1046" s="26" t="s">
        <v>43</v>
      </c>
      <c r="F1046" t="s">
        <v>21</v>
      </c>
    </row>
    <row r="1047" spans="1:6" ht="15.6" x14ac:dyDescent="0.3">
      <c r="A1047" s="84">
        <v>44236</v>
      </c>
      <c r="B1047" s="29">
        <v>10</v>
      </c>
      <c r="C1047" s="11"/>
      <c r="D1047" s="11"/>
      <c r="E1047" s="26" t="s">
        <v>43</v>
      </c>
      <c r="F1047" t="s">
        <v>21</v>
      </c>
    </row>
    <row r="1048" spans="1:6" ht="15.6" x14ac:dyDescent="0.3">
      <c r="A1048" s="84">
        <v>44236</v>
      </c>
      <c r="B1048" s="29">
        <v>10</v>
      </c>
      <c r="C1048" s="11"/>
      <c r="D1048" s="11"/>
      <c r="E1048" s="26" t="s">
        <v>43</v>
      </c>
      <c r="F1048" t="s">
        <v>21</v>
      </c>
    </row>
    <row r="1049" spans="1:6" ht="15.6" x14ac:dyDescent="0.3">
      <c r="A1049" s="84">
        <v>44236</v>
      </c>
      <c r="B1049" s="29">
        <v>12</v>
      </c>
      <c r="C1049" s="11"/>
      <c r="D1049" s="11"/>
      <c r="E1049" s="26" t="s">
        <v>43</v>
      </c>
      <c r="F1049" t="s">
        <v>21</v>
      </c>
    </row>
    <row r="1050" spans="1:6" ht="15.6" x14ac:dyDescent="0.3">
      <c r="A1050" s="84">
        <v>44236</v>
      </c>
      <c r="B1050" s="29">
        <v>10</v>
      </c>
      <c r="C1050" s="11"/>
      <c r="D1050" s="11"/>
      <c r="E1050" s="26" t="s">
        <v>43</v>
      </c>
      <c r="F1050" t="s">
        <v>21</v>
      </c>
    </row>
    <row r="1051" spans="1:6" ht="15.6" x14ac:dyDescent="0.3">
      <c r="A1051" s="84">
        <v>44236</v>
      </c>
      <c r="B1051" s="29">
        <v>10</v>
      </c>
      <c r="C1051" s="11"/>
      <c r="D1051" s="11"/>
      <c r="E1051" s="26" t="s">
        <v>43</v>
      </c>
      <c r="F1051" t="s">
        <v>21</v>
      </c>
    </row>
    <row r="1052" spans="1:6" ht="15.6" x14ac:dyDescent="0.3">
      <c r="A1052" s="84">
        <v>44236</v>
      </c>
      <c r="B1052" s="29">
        <v>10</v>
      </c>
      <c r="C1052" s="11"/>
      <c r="D1052" s="11"/>
      <c r="E1052" s="26" t="s">
        <v>43</v>
      </c>
      <c r="F1052" t="s">
        <v>21</v>
      </c>
    </row>
    <row r="1053" spans="1:6" ht="15.6" x14ac:dyDescent="0.3">
      <c r="A1053" s="84">
        <v>44236</v>
      </c>
      <c r="B1053" s="29">
        <v>11</v>
      </c>
      <c r="C1053" s="11"/>
      <c r="D1053" s="11"/>
      <c r="E1053" s="26" t="s">
        <v>43</v>
      </c>
      <c r="F1053" t="s">
        <v>21</v>
      </c>
    </row>
    <row r="1054" spans="1:6" ht="15.6" x14ac:dyDescent="0.3">
      <c r="A1054" s="84">
        <v>44236</v>
      </c>
      <c r="B1054" s="29">
        <v>7</v>
      </c>
      <c r="C1054" s="11"/>
      <c r="D1054" s="11"/>
      <c r="E1054" s="26" t="s">
        <v>43</v>
      </c>
      <c r="F1054" t="s">
        <v>21</v>
      </c>
    </row>
    <row r="1055" spans="1:6" ht="15.6" x14ac:dyDescent="0.3">
      <c r="A1055" s="84">
        <v>44236</v>
      </c>
      <c r="B1055" s="29">
        <v>14</v>
      </c>
      <c r="C1055" s="11"/>
      <c r="D1055" s="11"/>
      <c r="E1055" s="26" t="s">
        <v>43</v>
      </c>
      <c r="F1055" t="s">
        <v>21</v>
      </c>
    </row>
    <row r="1056" spans="1:6" ht="15.6" x14ac:dyDescent="0.3">
      <c r="A1056" s="84">
        <v>44236</v>
      </c>
      <c r="B1056" s="29">
        <v>15</v>
      </c>
      <c r="C1056" s="11"/>
      <c r="D1056" s="11"/>
      <c r="E1056" s="26" t="s">
        <v>43</v>
      </c>
      <c r="F1056" t="s">
        <v>21</v>
      </c>
    </row>
    <row r="1057" spans="1:6" ht="15.6" x14ac:dyDescent="0.3">
      <c r="A1057" s="84">
        <v>44236</v>
      </c>
      <c r="B1057" s="29">
        <v>18</v>
      </c>
      <c r="C1057" s="11"/>
      <c r="D1057" s="11"/>
      <c r="E1057" s="26" t="s">
        <v>43</v>
      </c>
      <c r="F1057" t="s">
        <v>21</v>
      </c>
    </row>
    <row r="1058" spans="1:6" ht="15.6" x14ac:dyDescent="0.3">
      <c r="A1058" s="84">
        <v>44236</v>
      </c>
      <c r="B1058" s="29">
        <v>16</v>
      </c>
      <c r="C1058" s="11"/>
      <c r="D1058" s="11"/>
      <c r="E1058" s="26" t="s">
        <v>43</v>
      </c>
      <c r="F1058" t="s">
        <v>21</v>
      </c>
    </row>
    <row r="1059" spans="1:6" ht="15.6" x14ac:dyDescent="0.3">
      <c r="A1059" s="84">
        <v>44236</v>
      </c>
      <c r="B1059" s="29">
        <v>14</v>
      </c>
      <c r="C1059" s="11"/>
      <c r="D1059" s="11"/>
      <c r="E1059" s="26" t="s">
        <v>43</v>
      </c>
      <c r="F1059" t="s">
        <v>21</v>
      </c>
    </row>
    <row r="1060" spans="1:6" ht="15.6" x14ac:dyDescent="0.3">
      <c r="A1060" s="84">
        <v>44236</v>
      </c>
      <c r="B1060" s="29">
        <v>15</v>
      </c>
      <c r="C1060" s="11"/>
      <c r="D1060" s="11"/>
      <c r="E1060" s="26" t="s">
        <v>43</v>
      </c>
      <c r="F1060" t="s">
        <v>21</v>
      </c>
    </row>
    <row r="1061" spans="1:6" ht="15.6" x14ac:dyDescent="0.3">
      <c r="A1061" s="84">
        <v>44236</v>
      </c>
      <c r="B1061" s="29">
        <v>16</v>
      </c>
      <c r="C1061" s="11"/>
      <c r="D1061" s="11"/>
      <c r="E1061" s="26" t="s">
        <v>43</v>
      </c>
      <c r="F1061" t="s">
        <v>21</v>
      </c>
    </row>
    <row r="1062" spans="1:6" ht="15.6" x14ac:dyDescent="0.3">
      <c r="A1062" s="84">
        <v>44236</v>
      </c>
      <c r="B1062" s="29">
        <v>16</v>
      </c>
      <c r="C1062" s="11"/>
      <c r="D1062" s="11"/>
      <c r="E1062" s="26" t="s">
        <v>43</v>
      </c>
      <c r="F1062" t="s">
        <v>21</v>
      </c>
    </row>
    <row r="1063" spans="1:6" ht="15.6" x14ac:dyDescent="0.3">
      <c r="A1063" s="84">
        <v>44236</v>
      </c>
      <c r="B1063" s="29">
        <v>25</v>
      </c>
      <c r="C1063" s="11"/>
      <c r="D1063" s="11"/>
      <c r="E1063" s="26" t="s">
        <v>43</v>
      </c>
      <c r="F1063" t="s">
        <v>21</v>
      </c>
    </row>
    <row r="1064" spans="1:6" ht="15.6" x14ac:dyDescent="0.3">
      <c r="A1064" s="84">
        <v>44236</v>
      </c>
      <c r="B1064" s="29">
        <v>19</v>
      </c>
      <c r="C1064" s="11"/>
      <c r="D1064" s="11"/>
      <c r="E1064" s="26" t="s">
        <v>43</v>
      </c>
      <c r="F1064" t="s">
        <v>21</v>
      </c>
    </row>
    <row r="1065" spans="1:6" ht="15.6" x14ac:dyDescent="0.3">
      <c r="A1065" s="84">
        <v>44236</v>
      </c>
      <c r="B1065" s="29">
        <v>16</v>
      </c>
      <c r="C1065" s="11"/>
      <c r="D1065" s="11"/>
      <c r="E1065" s="26" t="s">
        <v>43</v>
      </c>
      <c r="F1065" t="s">
        <v>21</v>
      </c>
    </row>
    <row r="1066" spans="1:6" ht="15.6" x14ac:dyDescent="0.3">
      <c r="A1066" s="84">
        <v>44236</v>
      </c>
      <c r="B1066" s="29">
        <v>20</v>
      </c>
      <c r="C1066" s="11"/>
      <c r="D1066" s="11"/>
      <c r="E1066" s="26" t="s">
        <v>43</v>
      </c>
      <c r="F1066" t="s">
        <v>21</v>
      </c>
    </row>
    <row r="1067" spans="1:6" ht="15.6" x14ac:dyDescent="0.3">
      <c r="A1067" s="84">
        <v>44257</v>
      </c>
      <c r="B1067" s="48">
        <v>25</v>
      </c>
      <c r="C1067" s="29"/>
      <c r="D1067" s="29"/>
      <c r="E1067" s="26" t="s">
        <v>43</v>
      </c>
      <c r="F1067" t="s">
        <v>21</v>
      </c>
    </row>
    <row r="1068" spans="1:6" ht="15.6" x14ac:dyDescent="0.3">
      <c r="A1068" s="84">
        <v>44257</v>
      </c>
      <c r="B1068" s="29">
        <v>23</v>
      </c>
      <c r="C1068" s="11"/>
      <c r="D1068" s="11"/>
      <c r="E1068" s="26" t="s">
        <v>43</v>
      </c>
      <c r="F1068" t="s">
        <v>21</v>
      </c>
    </row>
    <row r="1069" spans="1:6" ht="15.6" x14ac:dyDescent="0.3">
      <c r="A1069" s="84">
        <v>44257</v>
      </c>
      <c r="B1069" s="29">
        <v>26</v>
      </c>
      <c r="C1069" s="11"/>
      <c r="D1069" s="11"/>
      <c r="E1069" s="26" t="s">
        <v>43</v>
      </c>
      <c r="F1069" t="s">
        <v>21</v>
      </c>
    </row>
    <row r="1070" spans="1:6" ht="15.6" x14ac:dyDescent="0.3">
      <c r="A1070" s="84">
        <v>44257</v>
      </c>
      <c r="B1070" s="29">
        <v>26</v>
      </c>
      <c r="C1070" s="11"/>
      <c r="D1070" s="11"/>
      <c r="E1070" s="26" t="s">
        <v>43</v>
      </c>
      <c r="F1070" t="s">
        <v>21</v>
      </c>
    </row>
    <row r="1071" spans="1:6" ht="15.6" x14ac:dyDescent="0.3">
      <c r="A1071" s="84">
        <v>44257</v>
      </c>
      <c r="B1071" s="29">
        <v>12</v>
      </c>
      <c r="C1071" s="11"/>
      <c r="D1071" s="11"/>
      <c r="E1071" s="26" t="s">
        <v>43</v>
      </c>
      <c r="F1071" t="s">
        <v>21</v>
      </c>
    </row>
    <row r="1072" spans="1:6" ht="15.6" x14ac:dyDescent="0.3">
      <c r="A1072" s="84">
        <v>44257</v>
      </c>
      <c r="B1072" s="29">
        <v>13</v>
      </c>
      <c r="C1072" s="11"/>
      <c r="D1072" s="11"/>
      <c r="E1072" s="26" t="s">
        <v>43</v>
      </c>
      <c r="F1072" t="s">
        <v>21</v>
      </c>
    </row>
    <row r="1073" spans="1:6" ht="15.6" x14ac:dyDescent="0.3">
      <c r="A1073" s="84">
        <v>44257</v>
      </c>
      <c r="B1073" s="29">
        <v>15</v>
      </c>
      <c r="C1073" s="11"/>
      <c r="D1073" s="11"/>
      <c r="E1073" s="26" t="s">
        <v>43</v>
      </c>
      <c r="F1073" t="s">
        <v>21</v>
      </c>
    </row>
    <row r="1074" spans="1:6" ht="15.6" x14ac:dyDescent="0.3">
      <c r="A1074" s="84">
        <v>44257</v>
      </c>
      <c r="B1074" s="29">
        <v>19</v>
      </c>
      <c r="C1074" s="11"/>
      <c r="D1074" s="11"/>
      <c r="E1074" s="26" t="s">
        <v>43</v>
      </c>
      <c r="F1074" t="s">
        <v>21</v>
      </c>
    </row>
    <row r="1075" spans="1:6" ht="15.6" x14ac:dyDescent="0.3">
      <c r="A1075" s="84">
        <v>44257</v>
      </c>
      <c r="B1075" s="29">
        <v>14</v>
      </c>
      <c r="C1075" s="11"/>
      <c r="D1075" s="11"/>
      <c r="E1075" s="26" t="s">
        <v>43</v>
      </c>
      <c r="F1075" t="s">
        <v>21</v>
      </c>
    </row>
    <row r="1076" spans="1:6" ht="15.6" x14ac:dyDescent="0.3">
      <c r="A1076" s="84">
        <v>44257</v>
      </c>
      <c r="B1076" s="29">
        <v>13</v>
      </c>
      <c r="C1076" s="11"/>
      <c r="D1076" s="11"/>
      <c r="E1076" s="26" t="s">
        <v>43</v>
      </c>
      <c r="F1076" t="s">
        <v>21</v>
      </c>
    </row>
    <row r="1077" spans="1:6" ht="15.6" x14ac:dyDescent="0.3">
      <c r="A1077" s="84">
        <v>44257</v>
      </c>
      <c r="B1077" s="29">
        <v>13</v>
      </c>
      <c r="C1077" s="11"/>
      <c r="D1077" s="11"/>
      <c r="E1077" s="26" t="s">
        <v>43</v>
      </c>
      <c r="F1077" t="s">
        <v>21</v>
      </c>
    </row>
    <row r="1078" spans="1:6" ht="15.6" x14ac:dyDescent="0.3">
      <c r="A1078" s="84">
        <v>44257</v>
      </c>
      <c r="B1078" s="29">
        <v>20</v>
      </c>
      <c r="C1078" s="11"/>
      <c r="D1078" s="11"/>
      <c r="E1078" s="26" t="s">
        <v>43</v>
      </c>
      <c r="F1078" t="s">
        <v>21</v>
      </c>
    </row>
    <row r="1079" spans="1:6" ht="15.6" x14ac:dyDescent="0.3">
      <c r="A1079" s="84">
        <v>44257</v>
      </c>
      <c r="B1079" s="29">
        <v>11</v>
      </c>
      <c r="C1079" s="11"/>
      <c r="D1079" s="11"/>
      <c r="E1079" s="26" t="s">
        <v>43</v>
      </c>
      <c r="F1079" t="s">
        <v>21</v>
      </c>
    </row>
    <row r="1080" spans="1:6" ht="15.6" x14ac:dyDescent="0.3">
      <c r="A1080" s="84">
        <v>44257</v>
      </c>
      <c r="B1080" s="29">
        <v>19</v>
      </c>
      <c r="C1080" s="11"/>
      <c r="D1080" s="11"/>
      <c r="E1080" s="26" t="s">
        <v>43</v>
      </c>
      <c r="F1080" t="s">
        <v>21</v>
      </c>
    </row>
    <row r="1081" spans="1:6" ht="15.6" x14ac:dyDescent="0.3">
      <c r="A1081" s="84">
        <v>44257</v>
      </c>
      <c r="B1081" s="29">
        <v>15</v>
      </c>
      <c r="C1081" s="11"/>
      <c r="D1081" s="11"/>
      <c r="E1081" s="26" t="s">
        <v>43</v>
      </c>
      <c r="F1081" t="s">
        <v>21</v>
      </c>
    </row>
    <row r="1082" spans="1:6" ht="15.6" x14ac:dyDescent="0.3">
      <c r="A1082" s="84">
        <v>44257</v>
      </c>
      <c r="B1082" s="29">
        <v>18</v>
      </c>
      <c r="C1082" s="11"/>
      <c r="D1082" s="11"/>
      <c r="E1082" s="26" t="s">
        <v>43</v>
      </c>
      <c r="F1082" t="s">
        <v>21</v>
      </c>
    </row>
    <row r="1083" spans="1:6" ht="15.6" x14ac:dyDescent="0.3">
      <c r="A1083" s="84">
        <v>44257</v>
      </c>
      <c r="B1083" s="29">
        <v>15</v>
      </c>
      <c r="C1083" s="11"/>
      <c r="D1083" s="11"/>
      <c r="E1083" s="26" t="s">
        <v>43</v>
      </c>
      <c r="F1083" t="s">
        <v>21</v>
      </c>
    </row>
    <row r="1084" spans="1:6" ht="15.6" x14ac:dyDescent="0.3">
      <c r="A1084" s="84">
        <v>44257</v>
      </c>
      <c r="B1084" s="29">
        <v>13</v>
      </c>
      <c r="C1084" s="11"/>
      <c r="D1084" s="11"/>
      <c r="E1084" s="26" t="s">
        <v>43</v>
      </c>
      <c r="F1084" t="s">
        <v>21</v>
      </c>
    </row>
    <row r="1085" spans="1:6" ht="15.6" x14ac:dyDescent="0.3">
      <c r="A1085" s="84">
        <v>44257</v>
      </c>
      <c r="B1085" s="29">
        <v>12</v>
      </c>
      <c r="C1085" s="11"/>
      <c r="D1085" s="11"/>
      <c r="E1085" s="26" t="s">
        <v>43</v>
      </c>
      <c r="F1085" t="s">
        <v>21</v>
      </c>
    </row>
    <row r="1086" spans="1:6" ht="15.6" x14ac:dyDescent="0.3">
      <c r="A1086" s="84">
        <v>44257</v>
      </c>
      <c r="B1086" s="29">
        <v>12</v>
      </c>
      <c r="C1086" s="11"/>
      <c r="D1086" s="11"/>
      <c r="E1086" s="26" t="s">
        <v>43</v>
      </c>
      <c r="F1086" t="s">
        <v>21</v>
      </c>
    </row>
    <row r="1087" spans="1:6" ht="15.6" x14ac:dyDescent="0.3">
      <c r="A1087" s="84">
        <v>44257</v>
      </c>
      <c r="B1087" s="29">
        <v>14</v>
      </c>
      <c r="C1087" s="11"/>
      <c r="D1087" s="11"/>
      <c r="E1087" s="26" t="s">
        <v>43</v>
      </c>
      <c r="F1087" t="s">
        <v>21</v>
      </c>
    </row>
    <row r="1088" spans="1:6" ht="15.6" x14ac:dyDescent="0.3">
      <c r="A1088" s="84">
        <v>44285</v>
      </c>
      <c r="B1088" s="48">
        <v>15</v>
      </c>
      <c r="C1088" s="29"/>
      <c r="D1088" s="29"/>
      <c r="E1088" s="26" t="s">
        <v>43</v>
      </c>
      <c r="F1088" t="s">
        <v>21</v>
      </c>
    </row>
    <row r="1089" spans="1:6" ht="15.6" x14ac:dyDescent="0.3">
      <c r="A1089" s="84">
        <v>44285</v>
      </c>
      <c r="B1089" s="29">
        <v>17</v>
      </c>
      <c r="C1089" s="11"/>
      <c r="D1089" s="11"/>
      <c r="E1089" s="26" t="s">
        <v>43</v>
      </c>
      <c r="F1089" t="s">
        <v>21</v>
      </c>
    </row>
    <row r="1090" spans="1:6" ht="15.6" x14ac:dyDescent="0.3">
      <c r="A1090" s="84">
        <v>44285</v>
      </c>
      <c r="B1090" s="29">
        <v>23</v>
      </c>
      <c r="C1090" s="11"/>
      <c r="D1090" s="11"/>
      <c r="E1090" s="26" t="s">
        <v>43</v>
      </c>
      <c r="F1090" t="s">
        <v>21</v>
      </c>
    </row>
    <row r="1091" spans="1:6" ht="15.6" x14ac:dyDescent="0.3">
      <c r="A1091" s="84">
        <v>44285</v>
      </c>
      <c r="B1091" s="29">
        <v>17</v>
      </c>
      <c r="C1091" s="11"/>
      <c r="D1091" s="11"/>
      <c r="E1091" s="26" t="s">
        <v>43</v>
      </c>
      <c r="F1091" t="s">
        <v>21</v>
      </c>
    </row>
    <row r="1092" spans="1:6" ht="15.6" x14ac:dyDescent="0.3">
      <c r="A1092" s="84">
        <v>44285</v>
      </c>
      <c r="B1092" s="29">
        <v>14</v>
      </c>
      <c r="C1092" s="11"/>
      <c r="D1092" s="11"/>
      <c r="E1092" s="26" t="s">
        <v>43</v>
      </c>
      <c r="F1092" t="s">
        <v>21</v>
      </c>
    </row>
    <row r="1093" spans="1:6" ht="15.6" x14ac:dyDescent="0.3">
      <c r="A1093" s="84">
        <v>44285</v>
      </c>
      <c r="B1093" s="29">
        <v>15</v>
      </c>
      <c r="C1093" s="11"/>
      <c r="D1093" s="11"/>
      <c r="E1093" s="26" t="s">
        <v>43</v>
      </c>
      <c r="F1093" t="s">
        <v>21</v>
      </c>
    </row>
    <row r="1094" spans="1:6" ht="15.6" x14ac:dyDescent="0.3">
      <c r="A1094" s="84">
        <v>44285</v>
      </c>
      <c r="B1094" s="29">
        <v>15</v>
      </c>
      <c r="C1094" s="11"/>
      <c r="D1094" s="11"/>
      <c r="E1094" s="26" t="s">
        <v>43</v>
      </c>
      <c r="F1094" t="s">
        <v>21</v>
      </c>
    </row>
    <row r="1095" spans="1:6" ht="15.6" x14ac:dyDescent="0.3">
      <c r="A1095" s="84">
        <v>44285</v>
      </c>
      <c r="B1095" s="29">
        <v>6</v>
      </c>
      <c r="C1095" s="11"/>
      <c r="D1095" s="11"/>
      <c r="E1095" s="26" t="s">
        <v>43</v>
      </c>
      <c r="F1095" t="s">
        <v>21</v>
      </c>
    </row>
    <row r="1096" spans="1:6" ht="15.6" x14ac:dyDescent="0.3">
      <c r="A1096" s="84">
        <v>44285</v>
      </c>
      <c r="B1096" s="29">
        <v>19</v>
      </c>
      <c r="C1096" s="11"/>
      <c r="D1096" s="11"/>
      <c r="E1096" s="26" t="s">
        <v>43</v>
      </c>
      <c r="F1096" t="s">
        <v>21</v>
      </c>
    </row>
    <row r="1097" spans="1:6" ht="15.6" x14ac:dyDescent="0.3">
      <c r="A1097" s="85">
        <v>44369</v>
      </c>
      <c r="B1097" s="48">
        <v>20</v>
      </c>
      <c r="C1097" s="29"/>
      <c r="D1097" s="29"/>
      <c r="E1097" s="26" t="s">
        <v>43</v>
      </c>
      <c r="F1097" t="s">
        <v>21</v>
      </c>
    </row>
    <row r="1098" spans="1:6" ht="15.6" x14ac:dyDescent="0.3">
      <c r="A1098" s="85">
        <v>44369</v>
      </c>
      <c r="B1098" s="29">
        <v>20</v>
      </c>
      <c r="C1098" s="11"/>
      <c r="D1098" s="11"/>
      <c r="E1098" s="26" t="s">
        <v>43</v>
      </c>
      <c r="F1098" t="s">
        <v>21</v>
      </c>
    </row>
    <row r="1099" spans="1:6" ht="15.6" x14ac:dyDescent="0.3">
      <c r="A1099" s="85">
        <v>44369</v>
      </c>
      <c r="B1099" s="29">
        <v>24</v>
      </c>
      <c r="C1099" s="11"/>
      <c r="D1099" s="11"/>
      <c r="E1099" s="26" t="s">
        <v>43</v>
      </c>
      <c r="F1099" t="s">
        <v>21</v>
      </c>
    </row>
    <row r="1100" spans="1:6" ht="15.6" x14ac:dyDescent="0.3">
      <c r="A1100" s="85">
        <v>44369</v>
      </c>
      <c r="B1100" s="29">
        <v>19</v>
      </c>
      <c r="C1100" s="11"/>
      <c r="D1100" s="11"/>
      <c r="E1100" s="26" t="s">
        <v>43</v>
      </c>
      <c r="F1100" t="s">
        <v>21</v>
      </c>
    </row>
    <row r="1101" spans="1:6" x14ac:dyDescent="0.3">
      <c r="A1101" s="86">
        <v>43647</v>
      </c>
      <c r="B1101" s="11">
        <v>13</v>
      </c>
      <c r="C1101" s="87">
        <v>13</v>
      </c>
      <c r="D1101" s="87">
        <v>13</v>
      </c>
      <c r="E1101" s="26" t="s">
        <v>44</v>
      </c>
      <c r="F1101" s="17" t="s">
        <v>17</v>
      </c>
    </row>
    <row r="1102" spans="1:6" x14ac:dyDescent="0.3">
      <c r="A1102" s="86">
        <v>43649</v>
      </c>
      <c r="B1102" s="11">
        <v>13</v>
      </c>
      <c r="C1102" s="87">
        <v>13</v>
      </c>
      <c r="D1102" s="87">
        <v>13</v>
      </c>
      <c r="E1102" s="26" t="s">
        <v>44</v>
      </c>
      <c r="F1102" s="17" t="s">
        <v>17</v>
      </c>
    </row>
    <row r="1103" spans="1:6" x14ac:dyDescent="0.3">
      <c r="A1103" s="86">
        <v>43651</v>
      </c>
      <c r="B1103" s="11">
        <v>13</v>
      </c>
      <c r="C1103" s="87">
        <v>13</v>
      </c>
      <c r="D1103" s="87">
        <v>13</v>
      </c>
      <c r="E1103" s="26" t="s">
        <v>44</v>
      </c>
      <c r="F1103" s="17" t="s">
        <v>17</v>
      </c>
    </row>
    <row r="1104" spans="1:6" x14ac:dyDescent="0.3">
      <c r="A1104" s="86">
        <v>43654</v>
      </c>
      <c r="B1104" s="11">
        <v>13</v>
      </c>
      <c r="C1104" s="87">
        <v>13</v>
      </c>
      <c r="D1104" s="87">
        <v>13</v>
      </c>
      <c r="E1104" s="26" t="s">
        <v>44</v>
      </c>
      <c r="F1104" s="17" t="s">
        <v>17</v>
      </c>
    </row>
    <row r="1105" spans="1:6" x14ac:dyDescent="0.3">
      <c r="A1105" s="86">
        <v>43656</v>
      </c>
      <c r="B1105" s="11">
        <v>13</v>
      </c>
      <c r="C1105" s="87">
        <v>13</v>
      </c>
      <c r="D1105" s="87">
        <v>13</v>
      </c>
      <c r="E1105" s="26" t="s">
        <v>44</v>
      </c>
      <c r="F1105" s="17" t="s">
        <v>17</v>
      </c>
    </row>
    <row r="1106" spans="1:6" x14ac:dyDescent="0.3">
      <c r="A1106" s="86">
        <v>43665</v>
      </c>
      <c r="B1106" s="11">
        <v>13</v>
      </c>
      <c r="C1106" s="87">
        <v>13</v>
      </c>
      <c r="D1106" s="87">
        <v>13</v>
      </c>
      <c r="E1106" s="26" t="s">
        <v>44</v>
      </c>
      <c r="F1106" s="17" t="s">
        <v>17</v>
      </c>
    </row>
    <row r="1107" spans="1:6" x14ac:dyDescent="0.3">
      <c r="A1107" s="70">
        <v>43684</v>
      </c>
      <c r="B1107" s="11">
        <v>13</v>
      </c>
      <c r="C1107" s="87">
        <v>13</v>
      </c>
      <c r="D1107" s="87">
        <v>13</v>
      </c>
      <c r="E1107" s="26" t="s">
        <v>44</v>
      </c>
      <c r="F1107" s="17" t="s">
        <v>17</v>
      </c>
    </row>
    <row r="1108" spans="1:6" x14ac:dyDescent="0.3">
      <c r="A1108" s="86">
        <v>43726</v>
      </c>
      <c r="B1108" s="11">
        <v>13</v>
      </c>
      <c r="C1108" s="87">
        <v>13</v>
      </c>
      <c r="D1108" s="87">
        <v>13</v>
      </c>
      <c r="E1108" s="26" t="s">
        <v>44</v>
      </c>
      <c r="F1108" s="17" t="s">
        <v>17</v>
      </c>
    </row>
    <row r="1109" spans="1:6" x14ac:dyDescent="0.3">
      <c r="A1109" s="70">
        <v>43768</v>
      </c>
      <c r="B1109" s="11">
        <v>13</v>
      </c>
      <c r="C1109" s="87">
        <v>13</v>
      </c>
      <c r="D1109" s="87">
        <v>13</v>
      </c>
      <c r="E1109" s="26" t="s">
        <v>44</v>
      </c>
      <c r="F1109" s="17" t="s">
        <v>17</v>
      </c>
    </row>
    <row r="1110" spans="1:6" x14ac:dyDescent="0.3">
      <c r="A1110" s="70">
        <v>43789</v>
      </c>
      <c r="B1110" s="11">
        <v>13</v>
      </c>
      <c r="C1110" s="87">
        <v>13</v>
      </c>
      <c r="D1110" s="87">
        <v>13</v>
      </c>
      <c r="E1110" s="26" t="s">
        <v>44</v>
      </c>
      <c r="F1110" s="17" t="s">
        <v>17</v>
      </c>
    </row>
    <row r="1111" spans="1:6" x14ac:dyDescent="0.3">
      <c r="A1111" s="70">
        <v>43819</v>
      </c>
      <c r="B1111" s="11">
        <v>16</v>
      </c>
      <c r="C1111" s="87">
        <v>16</v>
      </c>
      <c r="D1111" s="87">
        <v>16</v>
      </c>
      <c r="E1111" s="26" t="s">
        <v>44</v>
      </c>
      <c r="F1111" s="17" t="s">
        <v>17</v>
      </c>
    </row>
    <row r="1112" spans="1:6" x14ac:dyDescent="0.3">
      <c r="A1112" s="70">
        <v>43838</v>
      </c>
      <c r="B1112" s="11">
        <v>16</v>
      </c>
      <c r="C1112" s="87">
        <v>16</v>
      </c>
      <c r="D1112" s="87">
        <v>16</v>
      </c>
      <c r="E1112" s="26" t="s">
        <v>44</v>
      </c>
      <c r="F1112" s="17" t="s">
        <v>17</v>
      </c>
    </row>
    <row r="1113" spans="1:6" x14ac:dyDescent="0.3">
      <c r="A1113" s="70">
        <v>43845</v>
      </c>
      <c r="B1113" s="11">
        <v>16</v>
      </c>
      <c r="C1113" s="87">
        <v>16</v>
      </c>
      <c r="D1113" s="87">
        <v>16</v>
      </c>
      <c r="E1113" s="26" t="s">
        <v>44</v>
      </c>
      <c r="F1113" s="17" t="s">
        <v>17</v>
      </c>
    </row>
    <row r="1114" spans="1:6" x14ac:dyDescent="0.3">
      <c r="A1114" s="70">
        <v>43847</v>
      </c>
      <c r="B1114" s="11">
        <v>16</v>
      </c>
      <c r="C1114" s="87">
        <v>16</v>
      </c>
      <c r="D1114" s="87">
        <v>16</v>
      </c>
      <c r="E1114" s="26" t="s">
        <v>44</v>
      </c>
      <c r="F1114" s="17" t="s">
        <v>17</v>
      </c>
    </row>
    <row r="1115" spans="1:6" x14ac:dyDescent="0.3">
      <c r="A1115" s="70">
        <v>43850</v>
      </c>
      <c r="B1115" s="11">
        <v>16</v>
      </c>
      <c r="C1115" s="87">
        <v>16</v>
      </c>
      <c r="D1115" s="87">
        <v>16</v>
      </c>
      <c r="E1115" s="26" t="s">
        <v>44</v>
      </c>
      <c r="F1115" s="17" t="s">
        <v>17</v>
      </c>
    </row>
    <row r="1116" spans="1:6" x14ac:dyDescent="0.3">
      <c r="A1116" s="70">
        <v>43850</v>
      </c>
      <c r="B1116" s="11">
        <v>16</v>
      </c>
      <c r="C1116" s="87">
        <v>16</v>
      </c>
      <c r="D1116" s="87">
        <v>16</v>
      </c>
      <c r="E1116" s="26" t="s">
        <v>44</v>
      </c>
      <c r="F1116" s="17" t="s">
        <v>17</v>
      </c>
    </row>
    <row r="1117" spans="1:6" x14ac:dyDescent="0.3">
      <c r="A1117" s="70">
        <v>43850</v>
      </c>
      <c r="B1117" s="11">
        <v>16</v>
      </c>
      <c r="C1117" s="87">
        <v>16</v>
      </c>
      <c r="D1117" s="87">
        <v>16</v>
      </c>
      <c r="E1117" s="26" t="s">
        <v>44</v>
      </c>
      <c r="F1117" s="17" t="s">
        <v>17</v>
      </c>
    </row>
    <row r="1118" spans="1:6" x14ac:dyDescent="0.3">
      <c r="A1118" s="70">
        <v>43852</v>
      </c>
      <c r="B1118" s="11">
        <v>16</v>
      </c>
      <c r="C1118" s="87">
        <v>16</v>
      </c>
      <c r="D1118" s="87">
        <v>16</v>
      </c>
      <c r="E1118" s="26" t="s">
        <v>44</v>
      </c>
      <c r="F1118" s="17" t="s">
        <v>17</v>
      </c>
    </row>
    <row r="1119" spans="1:6" x14ac:dyDescent="0.3">
      <c r="A1119" s="70">
        <v>43852</v>
      </c>
      <c r="B1119" s="11">
        <v>16</v>
      </c>
      <c r="C1119" s="87">
        <v>16</v>
      </c>
      <c r="D1119" s="87">
        <v>16</v>
      </c>
      <c r="E1119" s="26" t="s">
        <v>44</v>
      </c>
      <c r="F1119" s="17" t="s">
        <v>17</v>
      </c>
    </row>
    <row r="1120" spans="1:6" x14ac:dyDescent="0.3">
      <c r="A1120" s="70">
        <v>43852</v>
      </c>
      <c r="B1120" s="11">
        <v>17</v>
      </c>
      <c r="C1120" s="87">
        <v>17</v>
      </c>
      <c r="D1120" s="88">
        <v>17</v>
      </c>
      <c r="E1120" s="26" t="s">
        <v>44</v>
      </c>
      <c r="F1120" s="17" t="s">
        <v>17</v>
      </c>
    </row>
    <row r="1121" spans="1:6" x14ac:dyDescent="0.3">
      <c r="A1121" s="70">
        <v>43873</v>
      </c>
      <c r="B1121" s="11">
        <v>16</v>
      </c>
      <c r="C1121" s="87">
        <v>16</v>
      </c>
      <c r="D1121" s="87">
        <v>16</v>
      </c>
      <c r="E1121" s="26" t="s">
        <v>44</v>
      </c>
      <c r="F1121" s="17" t="s">
        <v>17</v>
      </c>
    </row>
    <row r="1122" spans="1:6" x14ac:dyDescent="0.3">
      <c r="A1122" s="70">
        <v>43873</v>
      </c>
      <c r="B1122" s="11">
        <v>15</v>
      </c>
      <c r="C1122" s="87">
        <v>15</v>
      </c>
      <c r="D1122" s="87">
        <v>15</v>
      </c>
      <c r="E1122" s="26" t="s">
        <v>44</v>
      </c>
      <c r="F1122" s="17" t="s">
        <v>17</v>
      </c>
    </row>
    <row r="1123" spans="1:6" x14ac:dyDescent="0.3">
      <c r="A1123" s="70">
        <v>43874</v>
      </c>
      <c r="B1123" s="11">
        <v>16</v>
      </c>
      <c r="C1123" s="87">
        <v>16</v>
      </c>
      <c r="D1123" s="87">
        <v>16</v>
      </c>
      <c r="E1123" s="26" t="s">
        <v>44</v>
      </c>
      <c r="F1123" s="17" t="s">
        <v>17</v>
      </c>
    </row>
    <row r="1124" spans="1:6" x14ac:dyDescent="0.3">
      <c r="A1124" s="70">
        <v>43874</v>
      </c>
      <c r="B1124" s="11">
        <v>16</v>
      </c>
      <c r="C1124" s="87">
        <v>16</v>
      </c>
      <c r="D1124" s="87">
        <v>16</v>
      </c>
      <c r="E1124" s="26" t="s">
        <v>44</v>
      </c>
      <c r="F1124" s="17" t="s">
        <v>17</v>
      </c>
    </row>
    <row r="1125" spans="1:6" x14ac:dyDescent="0.3">
      <c r="A1125" s="70">
        <v>43885</v>
      </c>
      <c r="B1125" s="11">
        <v>16</v>
      </c>
      <c r="C1125" s="87">
        <v>16</v>
      </c>
      <c r="D1125" s="87">
        <v>16</v>
      </c>
      <c r="E1125" s="26" t="s">
        <v>44</v>
      </c>
      <c r="F1125" s="17" t="s">
        <v>17</v>
      </c>
    </row>
    <row r="1126" spans="1:6" x14ac:dyDescent="0.3">
      <c r="A1126" s="70">
        <v>43885</v>
      </c>
      <c r="B1126" s="11">
        <v>16</v>
      </c>
      <c r="C1126" s="87">
        <v>16</v>
      </c>
      <c r="D1126" s="87">
        <v>16</v>
      </c>
      <c r="E1126" s="26" t="s">
        <v>44</v>
      </c>
      <c r="F1126" s="17" t="s">
        <v>17</v>
      </c>
    </row>
    <row r="1127" spans="1:6" x14ac:dyDescent="0.3">
      <c r="A1127" s="70">
        <v>43892</v>
      </c>
      <c r="B1127" s="11">
        <v>16</v>
      </c>
      <c r="C1127" s="87">
        <v>16</v>
      </c>
      <c r="D1127" s="87">
        <v>16</v>
      </c>
      <c r="E1127" s="26" t="s">
        <v>44</v>
      </c>
      <c r="F1127" s="17" t="s">
        <v>17</v>
      </c>
    </row>
    <row r="1128" spans="1:6" x14ac:dyDescent="0.3">
      <c r="A1128" s="70">
        <v>43892</v>
      </c>
      <c r="B1128" s="11">
        <v>16</v>
      </c>
      <c r="C1128" s="87">
        <v>16</v>
      </c>
      <c r="D1128" s="87">
        <v>16</v>
      </c>
      <c r="E1128" s="26" t="s">
        <v>44</v>
      </c>
      <c r="F1128" s="17" t="s">
        <v>17</v>
      </c>
    </row>
    <row r="1129" spans="1:6" x14ac:dyDescent="0.3">
      <c r="A1129" s="70">
        <v>43894</v>
      </c>
      <c r="B1129" s="11">
        <v>16</v>
      </c>
      <c r="C1129" s="87">
        <v>16</v>
      </c>
      <c r="D1129" s="87">
        <v>16</v>
      </c>
      <c r="E1129" s="26" t="s">
        <v>44</v>
      </c>
      <c r="F1129" s="17" t="s">
        <v>17</v>
      </c>
    </row>
    <row r="1130" spans="1:6" x14ac:dyDescent="0.3">
      <c r="A1130" s="70">
        <v>43894</v>
      </c>
      <c r="B1130" s="11">
        <v>16</v>
      </c>
      <c r="C1130" s="87">
        <v>16</v>
      </c>
      <c r="D1130" s="87">
        <v>16</v>
      </c>
      <c r="E1130" s="26" t="s">
        <v>44</v>
      </c>
      <c r="F1130" s="17" t="s">
        <v>17</v>
      </c>
    </row>
    <row r="1131" spans="1:6" x14ac:dyDescent="0.3">
      <c r="A1131" s="70">
        <v>43901</v>
      </c>
      <c r="B1131" s="11">
        <v>16</v>
      </c>
      <c r="C1131" s="87">
        <v>16</v>
      </c>
      <c r="D1131" s="87">
        <v>16</v>
      </c>
      <c r="E1131" s="26" t="s">
        <v>44</v>
      </c>
      <c r="F1131" s="17" t="s">
        <v>17</v>
      </c>
    </row>
    <row r="1132" spans="1:6" x14ac:dyDescent="0.3">
      <c r="A1132" s="70">
        <v>43901</v>
      </c>
      <c r="B1132" s="11">
        <v>16</v>
      </c>
      <c r="C1132" s="87">
        <v>16</v>
      </c>
      <c r="D1132" s="87">
        <v>16</v>
      </c>
      <c r="E1132" s="26" t="s">
        <v>44</v>
      </c>
      <c r="F1132" s="17" t="s">
        <v>17</v>
      </c>
    </row>
    <row r="1133" spans="1:6" x14ac:dyDescent="0.3">
      <c r="A1133" s="70">
        <v>43908</v>
      </c>
      <c r="B1133" s="11">
        <v>16</v>
      </c>
      <c r="C1133" s="87">
        <v>16</v>
      </c>
      <c r="D1133" s="87">
        <v>16</v>
      </c>
      <c r="E1133" s="26" t="s">
        <v>44</v>
      </c>
      <c r="F1133" s="17" t="s">
        <v>17</v>
      </c>
    </row>
    <row r="1134" spans="1:6" x14ac:dyDescent="0.3">
      <c r="A1134" s="70">
        <v>43908</v>
      </c>
      <c r="B1134" s="11">
        <v>16</v>
      </c>
      <c r="C1134" s="87">
        <v>16</v>
      </c>
      <c r="D1134" s="87">
        <v>16</v>
      </c>
      <c r="E1134" s="26" t="s">
        <v>44</v>
      </c>
      <c r="F1134" s="17" t="s">
        <v>17</v>
      </c>
    </row>
    <row r="1135" spans="1:6" x14ac:dyDescent="0.3">
      <c r="A1135" s="70">
        <v>43913</v>
      </c>
      <c r="B1135" s="11">
        <v>16</v>
      </c>
      <c r="C1135" s="87">
        <v>16</v>
      </c>
      <c r="D1135" s="87">
        <v>16</v>
      </c>
      <c r="E1135" s="26" t="s">
        <v>44</v>
      </c>
      <c r="F1135" s="17" t="s">
        <v>17</v>
      </c>
    </row>
    <row r="1136" spans="1:6" x14ac:dyDescent="0.3">
      <c r="A1136" s="70">
        <v>43913</v>
      </c>
      <c r="B1136" s="11">
        <v>16</v>
      </c>
      <c r="C1136" s="87">
        <v>16</v>
      </c>
      <c r="D1136" s="87">
        <v>16</v>
      </c>
      <c r="E1136" s="26" t="s">
        <v>44</v>
      </c>
      <c r="F1136" s="17" t="s">
        <v>17</v>
      </c>
    </row>
    <row r="1137" spans="1:6" x14ac:dyDescent="0.3">
      <c r="A1137" s="70">
        <v>43917</v>
      </c>
      <c r="B1137" s="11">
        <v>16</v>
      </c>
      <c r="C1137" s="87">
        <v>16</v>
      </c>
      <c r="D1137" s="87">
        <v>16</v>
      </c>
      <c r="E1137" s="26" t="s">
        <v>44</v>
      </c>
      <c r="F1137" s="17" t="s">
        <v>17</v>
      </c>
    </row>
    <row r="1138" spans="1:6" x14ac:dyDescent="0.3">
      <c r="A1138" s="70">
        <v>43917</v>
      </c>
      <c r="B1138" s="11">
        <v>15</v>
      </c>
      <c r="C1138" s="87">
        <v>15</v>
      </c>
      <c r="D1138" s="87">
        <v>15</v>
      </c>
      <c r="E1138" s="26" t="s">
        <v>44</v>
      </c>
      <c r="F1138" s="17" t="s">
        <v>17</v>
      </c>
    </row>
    <row r="1139" spans="1:6" x14ac:dyDescent="0.3">
      <c r="A1139" s="70">
        <v>43983</v>
      </c>
      <c r="B1139" s="11">
        <v>16</v>
      </c>
      <c r="C1139" s="87">
        <v>16</v>
      </c>
      <c r="D1139" s="87">
        <v>16</v>
      </c>
      <c r="E1139" s="26" t="s">
        <v>44</v>
      </c>
      <c r="F1139" s="17" t="s">
        <v>17</v>
      </c>
    </row>
    <row r="1140" spans="1:6" x14ac:dyDescent="0.3">
      <c r="A1140" s="70">
        <v>43983</v>
      </c>
      <c r="B1140" s="11">
        <v>16</v>
      </c>
      <c r="C1140" s="87">
        <v>16</v>
      </c>
      <c r="D1140" s="87">
        <v>16</v>
      </c>
      <c r="E1140" s="26" t="s">
        <v>44</v>
      </c>
      <c r="F1140" s="17" t="s">
        <v>17</v>
      </c>
    </row>
    <row r="1141" spans="1:6" x14ac:dyDescent="0.3">
      <c r="A1141" s="70">
        <v>43987</v>
      </c>
      <c r="B1141" s="11">
        <v>16</v>
      </c>
      <c r="C1141" s="87">
        <v>16</v>
      </c>
      <c r="D1141" s="87">
        <v>16</v>
      </c>
      <c r="E1141" s="26" t="s">
        <v>44</v>
      </c>
      <c r="F1141" s="17" t="s">
        <v>17</v>
      </c>
    </row>
    <row r="1142" spans="1:6" x14ac:dyDescent="0.3">
      <c r="A1142" s="70">
        <v>43987</v>
      </c>
      <c r="B1142" s="11">
        <v>17</v>
      </c>
      <c r="C1142" s="87">
        <v>17</v>
      </c>
      <c r="D1142" s="87">
        <v>17</v>
      </c>
      <c r="E1142" s="26" t="s">
        <v>44</v>
      </c>
      <c r="F1142" s="17" t="s">
        <v>17</v>
      </c>
    </row>
    <row r="1143" spans="1:6" x14ac:dyDescent="0.3">
      <c r="A1143" s="70">
        <v>43990</v>
      </c>
      <c r="B1143" s="11">
        <v>16</v>
      </c>
      <c r="C1143" s="87">
        <v>16</v>
      </c>
      <c r="D1143" s="87">
        <v>16</v>
      </c>
      <c r="E1143" s="26" t="s">
        <v>44</v>
      </c>
      <c r="F1143" s="17" t="s">
        <v>17</v>
      </c>
    </row>
    <row r="1144" spans="1:6" x14ac:dyDescent="0.3">
      <c r="A1144" s="70">
        <v>43990</v>
      </c>
      <c r="B1144" s="11">
        <v>16</v>
      </c>
      <c r="C1144" s="87">
        <v>16</v>
      </c>
      <c r="D1144" s="87">
        <v>16</v>
      </c>
      <c r="E1144" s="26" t="s">
        <v>44</v>
      </c>
      <c r="F1144" s="17" t="s">
        <v>17</v>
      </c>
    </row>
    <row r="1145" spans="1:6" x14ac:dyDescent="0.3">
      <c r="A1145" s="70">
        <v>43992</v>
      </c>
      <c r="B1145" s="11">
        <v>16</v>
      </c>
      <c r="C1145" s="87">
        <v>16</v>
      </c>
      <c r="D1145" s="87">
        <v>16</v>
      </c>
      <c r="E1145" s="26" t="s">
        <v>44</v>
      </c>
      <c r="F1145" s="17" t="s">
        <v>17</v>
      </c>
    </row>
    <row r="1146" spans="1:6" x14ac:dyDescent="0.3">
      <c r="A1146" s="70">
        <v>43992</v>
      </c>
      <c r="B1146" s="11">
        <v>16</v>
      </c>
      <c r="C1146" s="87">
        <v>16</v>
      </c>
      <c r="D1146" s="87">
        <v>16</v>
      </c>
      <c r="E1146" s="26" t="s">
        <v>44</v>
      </c>
      <c r="F1146" s="17" t="s">
        <v>17</v>
      </c>
    </row>
    <row r="1147" spans="1:6" x14ac:dyDescent="0.3">
      <c r="A1147" s="70">
        <v>43994</v>
      </c>
      <c r="B1147" s="11">
        <v>16</v>
      </c>
      <c r="C1147" s="87">
        <v>16</v>
      </c>
      <c r="D1147" s="87">
        <v>16</v>
      </c>
      <c r="E1147" s="26" t="s">
        <v>44</v>
      </c>
      <c r="F1147" s="17" t="s">
        <v>17</v>
      </c>
    </row>
    <row r="1148" spans="1:6" x14ac:dyDescent="0.3">
      <c r="A1148" s="70">
        <v>43994</v>
      </c>
      <c r="B1148" s="11">
        <v>16</v>
      </c>
      <c r="C1148" s="87">
        <v>16</v>
      </c>
      <c r="D1148" s="87">
        <v>16</v>
      </c>
      <c r="E1148" s="26" t="s">
        <v>44</v>
      </c>
      <c r="F1148" s="17" t="s">
        <v>17</v>
      </c>
    </row>
    <row r="1149" spans="1:6" x14ac:dyDescent="0.3">
      <c r="A1149" s="70">
        <v>43997</v>
      </c>
      <c r="B1149" s="11">
        <v>16</v>
      </c>
      <c r="C1149" s="87">
        <v>16</v>
      </c>
      <c r="D1149" s="87">
        <v>16</v>
      </c>
      <c r="E1149" s="26" t="s">
        <v>44</v>
      </c>
      <c r="F1149" s="17" t="s">
        <v>17</v>
      </c>
    </row>
    <row r="1150" spans="1:6" x14ac:dyDescent="0.3">
      <c r="A1150" s="70">
        <v>43997</v>
      </c>
      <c r="B1150" s="11">
        <v>16</v>
      </c>
      <c r="C1150" s="87">
        <v>16</v>
      </c>
      <c r="D1150" s="87">
        <v>16</v>
      </c>
      <c r="E1150" s="26" t="s">
        <v>44</v>
      </c>
      <c r="F1150" s="17" t="s">
        <v>17</v>
      </c>
    </row>
    <row r="1151" spans="1:6" x14ac:dyDescent="0.3">
      <c r="A1151" s="70">
        <v>44006</v>
      </c>
      <c r="B1151" s="11">
        <v>16</v>
      </c>
      <c r="C1151" s="87">
        <v>16</v>
      </c>
      <c r="D1151" s="87">
        <v>16</v>
      </c>
      <c r="E1151" s="26" t="s">
        <v>44</v>
      </c>
      <c r="F1151" s="17" t="s">
        <v>17</v>
      </c>
    </row>
    <row r="1152" spans="1:6" x14ac:dyDescent="0.3">
      <c r="A1152" s="70">
        <v>44006</v>
      </c>
      <c r="B1152" s="11">
        <v>17</v>
      </c>
      <c r="C1152" s="87">
        <v>17</v>
      </c>
      <c r="D1152" s="87">
        <v>17</v>
      </c>
      <c r="E1152" s="26" t="s">
        <v>44</v>
      </c>
      <c r="F1152" s="17" t="s">
        <v>17</v>
      </c>
    </row>
    <row r="1153" spans="1:6" x14ac:dyDescent="0.3">
      <c r="A1153" s="70">
        <v>44008</v>
      </c>
      <c r="B1153" s="11">
        <v>16</v>
      </c>
      <c r="C1153" s="87">
        <v>16</v>
      </c>
      <c r="D1153" s="87">
        <v>16</v>
      </c>
      <c r="E1153" s="26" t="s">
        <v>44</v>
      </c>
      <c r="F1153" s="17" t="s">
        <v>17</v>
      </c>
    </row>
    <row r="1154" spans="1:6" x14ac:dyDescent="0.3">
      <c r="A1154" s="70">
        <v>44008</v>
      </c>
      <c r="B1154" s="11">
        <v>16</v>
      </c>
      <c r="C1154" s="87">
        <v>16</v>
      </c>
      <c r="D1154" s="87">
        <v>16</v>
      </c>
      <c r="E1154" s="26" t="s">
        <v>44</v>
      </c>
      <c r="F1154" s="17" t="s">
        <v>17</v>
      </c>
    </row>
    <row r="1155" spans="1:6" x14ac:dyDescent="0.3">
      <c r="A1155" s="70">
        <v>44011</v>
      </c>
      <c r="B1155" s="11">
        <v>16</v>
      </c>
      <c r="C1155" s="87">
        <v>16</v>
      </c>
      <c r="D1155" s="87">
        <v>16</v>
      </c>
      <c r="E1155" s="26" t="s">
        <v>44</v>
      </c>
      <c r="F1155" s="17" t="s">
        <v>17</v>
      </c>
    </row>
    <row r="1156" spans="1:6" x14ac:dyDescent="0.3">
      <c r="A1156" s="70">
        <v>44011</v>
      </c>
      <c r="B1156" s="11">
        <v>17</v>
      </c>
      <c r="C1156" s="87">
        <v>17</v>
      </c>
      <c r="D1156" s="87">
        <v>17</v>
      </c>
      <c r="E1156" s="26" t="s">
        <v>44</v>
      </c>
      <c r="F1156" s="17" t="s">
        <v>17</v>
      </c>
    </row>
    <row r="1157" spans="1:6" x14ac:dyDescent="0.3">
      <c r="A1157" s="70">
        <v>44018</v>
      </c>
      <c r="B1157" s="11">
        <v>16</v>
      </c>
      <c r="C1157" s="87">
        <v>16</v>
      </c>
      <c r="D1157" s="87">
        <v>16</v>
      </c>
      <c r="E1157" s="26" t="s">
        <v>44</v>
      </c>
      <c r="F1157" s="17" t="s">
        <v>17</v>
      </c>
    </row>
    <row r="1158" spans="1:6" x14ac:dyDescent="0.3">
      <c r="A1158" s="70">
        <v>44018</v>
      </c>
      <c r="B1158" s="11">
        <v>16</v>
      </c>
      <c r="C1158" s="87">
        <v>16</v>
      </c>
      <c r="D1158" s="87">
        <v>16</v>
      </c>
      <c r="E1158" s="26" t="s">
        <v>44</v>
      </c>
      <c r="F1158" s="17" t="s">
        <v>17</v>
      </c>
    </row>
    <row r="1159" spans="1:6" x14ac:dyDescent="0.3">
      <c r="A1159" s="70">
        <v>44020</v>
      </c>
      <c r="B1159" s="11">
        <v>17</v>
      </c>
      <c r="C1159" s="87">
        <v>17</v>
      </c>
      <c r="D1159" s="87">
        <v>17</v>
      </c>
      <c r="E1159" s="26" t="s">
        <v>44</v>
      </c>
      <c r="F1159" s="17" t="s">
        <v>17</v>
      </c>
    </row>
    <row r="1160" spans="1:6" x14ac:dyDescent="0.3">
      <c r="A1160" s="70">
        <v>44020</v>
      </c>
      <c r="B1160" s="11">
        <v>16</v>
      </c>
      <c r="C1160" s="87">
        <v>16</v>
      </c>
      <c r="D1160" s="87">
        <v>16</v>
      </c>
      <c r="E1160" s="26" t="s">
        <v>44</v>
      </c>
      <c r="F1160" s="17" t="s">
        <v>17</v>
      </c>
    </row>
    <row r="1161" spans="1:6" x14ac:dyDescent="0.3">
      <c r="A1161" s="70">
        <v>44025</v>
      </c>
      <c r="B1161" s="11">
        <v>16</v>
      </c>
      <c r="C1161" s="87">
        <v>16</v>
      </c>
      <c r="D1161" s="35">
        <v>16</v>
      </c>
      <c r="E1161" s="26" t="s">
        <v>44</v>
      </c>
      <c r="F1161" s="17" t="s">
        <v>17</v>
      </c>
    </row>
    <row r="1162" spans="1:6" x14ac:dyDescent="0.3">
      <c r="A1162" s="70">
        <v>44025</v>
      </c>
      <c r="B1162" s="11">
        <v>17</v>
      </c>
      <c r="C1162" s="87">
        <v>17</v>
      </c>
      <c r="D1162" s="35">
        <v>17</v>
      </c>
      <c r="E1162" s="26" t="s">
        <v>44</v>
      </c>
      <c r="F1162" s="17" t="s">
        <v>17</v>
      </c>
    </row>
    <row r="1163" spans="1:6" x14ac:dyDescent="0.3">
      <c r="A1163" s="70">
        <v>44032</v>
      </c>
      <c r="B1163" s="11">
        <v>16</v>
      </c>
      <c r="C1163" s="87">
        <v>16</v>
      </c>
      <c r="D1163" s="87">
        <v>16</v>
      </c>
      <c r="E1163" s="26" t="s">
        <v>44</v>
      </c>
      <c r="F1163" s="17" t="s">
        <v>17</v>
      </c>
    </row>
    <row r="1164" spans="1:6" x14ac:dyDescent="0.3">
      <c r="A1164" s="70">
        <v>44032</v>
      </c>
      <c r="B1164" s="11">
        <v>16</v>
      </c>
      <c r="C1164" s="87">
        <v>16</v>
      </c>
      <c r="D1164" s="87">
        <v>16</v>
      </c>
      <c r="E1164" s="26" t="s">
        <v>44</v>
      </c>
      <c r="F1164" s="17" t="s">
        <v>17</v>
      </c>
    </row>
    <row r="1165" spans="1:6" x14ac:dyDescent="0.3">
      <c r="A1165" s="70">
        <v>44034</v>
      </c>
      <c r="B1165" s="11">
        <v>17</v>
      </c>
      <c r="C1165" s="87">
        <v>17</v>
      </c>
      <c r="D1165" s="35">
        <v>17</v>
      </c>
      <c r="E1165" s="26" t="s">
        <v>44</v>
      </c>
      <c r="F1165" s="17" t="s">
        <v>17</v>
      </c>
    </row>
    <row r="1166" spans="1:6" x14ac:dyDescent="0.3">
      <c r="A1166" s="70">
        <v>44034</v>
      </c>
      <c r="B1166" s="11">
        <v>18</v>
      </c>
      <c r="C1166" s="87">
        <v>18</v>
      </c>
      <c r="D1166" s="35">
        <v>18</v>
      </c>
      <c r="E1166" s="26" t="s">
        <v>44</v>
      </c>
      <c r="F1166" s="17" t="s">
        <v>17</v>
      </c>
    </row>
    <row r="1167" spans="1:6" x14ac:dyDescent="0.3">
      <c r="A1167" s="70">
        <v>44036</v>
      </c>
      <c r="B1167" s="11">
        <v>16</v>
      </c>
      <c r="C1167" s="87">
        <v>16</v>
      </c>
      <c r="D1167" s="35">
        <v>16</v>
      </c>
      <c r="E1167" s="26" t="s">
        <v>44</v>
      </c>
      <c r="F1167" s="17" t="s">
        <v>17</v>
      </c>
    </row>
    <row r="1168" spans="1:6" x14ac:dyDescent="0.3">
      <c r="A1168" s="70">
        <v>44036</v>
      </c>
      <c r="B1168" s="11">
        <v>17</v>
      </c>
      <c r="C1168" s="87">
        <v>17</v>
      </c>
      <c r="D1168" s="35">
        <v>17</v>
      </c>
      <c r="E1168" s="26" t="s">
        <v>44</v>
      </c>
      <c r="F1168" s="17" t="s">
        <v>17</v>
      </c>
    </row>
    <row r="1169" spans="1:6" x14ac:dyDescent="0.3">
      <c r="A1169" s="70">
        <v>44046</v>
      </c>
      <c r="B1169" s="11">
        <v>16</v>
      </c>
      <c r="C1169" s="87">
        <v>16</v>
      </c>
      <c r="D1169" s="35">
        <v>16</v>
      </c>
      <c r="E1169" s="26" t="s">
        <v>44</v>
      </c>
      <c r="F1169" s="17" t="s">
        <v>17</v>
      </c>
    </row>
    <row r="1170" spans="1:6" x14ac:dyDescent="0.3">
      <c r="A1170" s="70">
        <v>44046</v>
      </c>
      <c r="B1170" s="11">
        <v>18</v>
      </c>
      <c r="C1170" s="87"/>
      <c r="D1170" s="35">
        <v>18</v>
      </c>
      <c r="E1170" s="26" t="s">
        <v>44</v>
      </c>
      <c r="F1170" s="17" t="s">
        <v>17</v>
      </c>
    </row>
    <row r="1171" spans="1:6" x14ac:dyDescent="0.3">
      <c r="A1171" s="70">
        <v>44048</v>
      </c>
      <c r="B1171" s="11">
        <v>18</v>
      </c>
      <c r="C1171" s="87"/>
      <c r="D1171" s="11"/>
      <c r="E1171" s="26" t="s">
        <v>44</v>
      </c>
      <c r="F1171" s="17" t="s">
        <v>17</v>
      </c>
    </row>
    <row r="1172" spans="1:6" x14ac:dyDescent="0.3">
      <c r="A1172" s="70">
        <v>44048</v>
      </c>
      <c r="B1172" s="11">
        <v>18</v>
      </c>
      <c r="C1172" s="87"/>
      <c r="D1172" s="11"/>
      <c r="E1172" s="26" t="s">
        <v>44</v>
      </c>
      <c r="F1172" s="17" t="s">
        <v>17</v>
      </c>
    </row>
    <row r="1173" spans="1:6" x14ac:dyDescent="0.3">
      <c r="A1173" s="70">
        <v>44050</v>
      </c>
      <c r="B1173" s="11">
        <v>16</v>
      </c>
      <c r="C1173" s="87"/>
      <c r="D1173" s="11"/>
      <c r="E1173" s="26" t="s">
        <v>44</v>
      </c>
      <c r="F1173" s="17" t="s">
        <v>17</v>
      </c>
    </row>
    <row r="1174" spans="1:6" x14ac:dyDescent="0.3">
      <c r="A1174" s="70">
        <v>44050</v>
      </c>
      <c r="B1174" s="11">
        <v>17</v>
      </c>
      <c r="C1174" s="87">
        <v>17</v>
      </c>
      <c r="D1174" s="87">
        <v>17</v>
      </c>
      <c r="E1174" s="26" t="s">
        <v>44</v>
      </c>
      <c r="F1174" s="17" t="s">
        <v>17</v>
      </c>
    </row>
    <row r="1175" spans="1:6" x14ac:dyDescent="0.3">
      <c r="A1175" s="70">
        <v>44060</v>
      </c>
      <c r="B1175" s="11">
        <v>17</v>
      </c>
      <c r="C1175" s="87"/>
      <c r="D1175" s="11"/>
      <c r="E1175" s="26" t="s">
        <v>44</v>
      </c>
      <c r="F1175" s="17" t="s">
        <v>17</v>
      </c>
    </row>
    <row r="1176" spans="1:6" x14ac:dyDescent="0.3">
      <c r="A1176" s="70">
        <v>44060</v>
      </c>
      <c r="B1176" s="11">
        <v>16</v>
      </c>
      <c r="C1176" s="87"/>
      <c r="D1176" s="11"/>
      <c r="E1176" s="26" t="s">
        <v>44</v>
      </c>
      <c r="F1176" s="17" t="s">
        <v>17</v>
      </c>
    </row>
    <row r="1177" spans="1:6" x14ac:dyDescent="0.3">
      <c r="A1177" s="70">
        <v>44062</v>
      </c>
      <c r="B1177" s="11">
        <v>19</v>
      </c>
      <c r="C1177" s="87"/>
      <c r="D1177" s="11"/>
      <c r="E1177" s="26" t="s">
        <v>44</v>
      </c>
      <c r="F1177" s="17" t="s">
        <v>17</v>
      </c>
    </row>
    <row r="1178" spans="1:6" x14ac:dyDescent="0.3">
      <c r="A1178" s="70">
        <v>44062</v>
      </c>
      <c r="B1178" s="11">
        <v>17</v>
      </c>
      <c r="C1178" s="87"/>
      <c r="D1178" s="11"/>
      <c r="E1178" s="26" t="s">
        <v>44</v>
      </c>
      <c r="F1178" s="17" t="s">
        <v>17</v>
      </c>
    </row>
    <row r="1179" spans="1:6" x14ac:dyDescent="0.3">
      <c r="A1179" s="70">
        <v>44064</v>
      </c>
      <c r="B1179" s="11">
        <v>17</v>
      </c>
      <c r="C1179" s="87"/>
      <c r="D1179" s="11"/>
      <c r="E1179" s="26" t="s">
        <v>44</v>
      </c>
      <c r="F1179" s="17" t="s">
        <v>17</v>
      </c>
    </row>
    <row r="1180" spans="1:6" x14ac:dyDescent="0.3">
      <c r="A1180" s="70">
        <v>44064</v>
      </c>
      <c r="B1180" s="11">
        <v>18</v>
      </c>
      <c r="C1180" s="87"/>
      <c r="D1180" s="11"/>
      <c r="E1180" s="26" t="s">
        <v>44</v>
      </c>
      <c r="F1180" s="17" t="s">
        <v>17</v>
      </c>
    </row>
    <row r="1181" spans="1:6" x14ac:dyDescent="0.3">
      <c r="A1181" s="70">
        <v>44074</v>
      </c>
      <c r="B1181" s="11">
        <v>18</v>
      </c>
      <c r="C1181" s="87"/>
      <c r="D1181" s="11"/>
      <c r="E1181" s="26" t="s">
        <v>44</v>
      </c>
      <c r="F1181" s="17" t="s">
        <v>17</v>
      </c>
    </row>
    <row r="1182" spans="1:6" x14ac:dyDescent="0.3">
      <c r="A1182" s="70">
        <v>44074</v>
      </c>
      <c r="B1182" s="11">
        <v>17</v>
      </c>
      <c r="C1182" s="87"/>
      <c r="D1182" s="11"/>
      <c r="E1182" s="26" t="s">
        <v>44</v>
      </c>
      <c r="F1182" s="17" t="s">
        <v>17</v>
      </c>
    </row>
    <row r="1183" spans="1:6" x14ac:dyDescent="0.3">
      <c r="A1183" s="70">
        <v>44078</v>
      </c>
      <c r="B1183" s="11">
        <v>16</v>
      </c>
      <c r="C1183" s="87"/>
      <c r="D1183" s="11"/>
      <c r="E1183" s="26" t="s">
        <v>44</v>
      </c>
      <c r="F1183" s="17" t="s">
        <v>17</v>
      </c>
    </row>
    <row r="1184" spans="1:6" x14ac:dyDescent="0.3">
      <c r="A1184" s="70">
        <v>44078</v>
      </c>
      <c r="B1184" s="11">
        <v>17</v>
      </c>
      <c r="C1184" s="87"/>
      <c r="D1184" s="11"/>
      <c r="E1184" s="26" t="s">
        <v>44</v>
      </c>
      <c r="F1184" s="17" t="s">
        <v>17</v>
      </c>
    </row>
    <row r="1185" spans="1:6" x14ac:dyDescent="0.3">
      <c r="A1185" s="70">
        <v>44078</v>
      </c>
      <c r="B1185" s="11">
        <v>19</v>
      </c>
      <c r="C1185" s="87"/>
      <c r="D1185" s="11"/>
      <c r="E1185" s="26" t="s">
        <v>44</v>
      </c>
      <c r="F1185" s="17" t="s">
        <v>17</v>
      </c>
    </row>
    <row r="1186" spans="1:6" x14ac:dyDescent="0.3">
      <c r="A1186" s="70">
        <v>44078</v>
      </c>
      <c r="B1186" s="11">
        <v>16</v>
      </c>
      <c r="C1186" s="87"/>
      <c r="D1186" s="11"/>
      <c r="E1186" s="26" t="s">
        <v>44</v>
      </c>
      <c r="F1186" s="17" t="s">
        <v>17</v>
      </c>
    </row>
    <row r="1187" spans="1:6" x14ac:dyDescent="0.3">
      <c r="A1187" s="70">
        <v>44088</v>
      </c>
      <c r="B1187" s="11">
        <v>17</v>
      </c>
      <c r="C1187" s="87"/>
      <c r="D1187" s="11"/>
      <c r="E1187" s="26" t="s">
        <v>44</v>
      </c>
      <c r="F1187" s="17" t="s">
        <v>17</v>
      </c>
    </row>
    <row r="1188" spans="1:6" x14ac:dyDescent="0.3">
      <c r="A1188" s="70">
        <v>44088</v>
      </c>
      <c r="B1188" s="11">
        <v>16</v>
      </c>
      <c r="C1188" s="87"/>
      <c r="D1188" s="11"/>
      <c r="E1188" s="26" t="s">
        <v>44</v>
      </c>
      <c r="F1188" s="17" t="s">
        <v>17</v>
      </c>
    </row>
    <row r="1189" spans="1:6" x14ac:dyDescent="0.3">
      <c r="A1189" s="70">
        <v>44090</v>
      </c>
      <c r="B1189" s="11">
        <v>17</v>
      </c>
      <c r="C1189" s="87"/>
      <c r="D1189" s="11"/>
      <c r="E1189" s="26" t="s">
        <v>44</v>
      </c>
      <c r="F1189" s="17" t="s">
        <v>17</v>
      </c>
    </row>
    <row r="1190" spans="1:6" x14ac:dyDescent="0.3">
      <c r="A1190" s="70">
        <v>44090</v>
      </c>
      <c r="B1190" s="11">
        <v>19</v>
      </c>
      <c r="C1190" s="87"/>
      <c r="D1190" s="11"/>
      <c r="E1190" s="26" t="s">
        <v>44</v>
      </c>
      <c r="F1190" s="17" t="s">
        <v>17</v>
      </c>
    </row>
    <row r="1191" spans="1:6" x14ac:dyDescent="0.3">
      <c r="A1191" s="70">
        <v>44116</v>
      </c>
      <c r="B1191" s="11">
        <v>16</v>
      </c>
      <c r="C1191" s="87"/>
      <c r="D1191" s="11"/>
      <c r="E1191" s="26" t="s">
        <v>44</v>
      </c>
      <c r="F1191" s="17" t="s">
        <v>17</v>
      </c>
    </row>
    <row r="1192" spans="1:6" x14ac:dyDescent="0.3">
      <c r="A1192" s="70">
        <v>44116</v>
      </c>
      <c r="B1192" s="11">
        <v>16</v>
      </c>
      <c r="C1192" s="87"/>
      <c r="D1192" s="11"/>
      <c r="E1192" s="26" t="s">
        <v>44</v>
      </c>
      <c r="F1192" s="17" t="s">
        <v>17</v>
      </c>
    </row>
    <row r="1193" spans="1:6" x14ac:dyDescent="0.3">
      <c r="A1193" s="70">
        <v>44118</v>
      </c>
      <c r="B1193" s="11">
        <v>19</v>
      </c>
      <c r="C1193" s="87"/>
      <c r="D1193" s="11"/>
      <c r="E1193" s="26" t="s">
        <v>44</v>
      </c>
      <c r="F1193" s="17" t="s">
        <v>17</v>
      </c>
    </row>
    <row r="1194" spans="1:6" x14ac:dyDescent="0.3">
      <c r="A1194" s="70">
        <v>44118</v>
      </c>
      <c r="B1194" s="11">
        <v>17</v>
      </c>
      <c r="C1194" s="87"/>
      <c r="D1194" s="11"/>
      <c r="E1194" s="26" t="s">
        <v>44</v>
      </c>
      <c r="F1194" s="17" t="s">
        <v>17</v>
      </c>
    </row>
    <row r="1195" spans="1:6" x14ac:dyDescent="0.3">
      <c r="A1195" s="70">
        <v>44120</v>
      </c>
      <c r="B1195" s="11">
        <v>17</v>
      </c>
      <c r="C1195" s="87"/>
      <c r="D1195" s="11"/>
      <c r="E1195" s="26" t="s">
        <v>44</v>
      </c>
      <c r="F1195" s="17" t="s">
        <v>17</v>
      </c>
    </row>
    <row r="1196" spans="1:6" x14ac:dyDescent="0.3">
      <c r="A1196" s="70">
        <v>44120</v>
      </c>
      <c r="B1196" s="11">
        <v>17</v>
      </c>
      <c r="C1196" s="87"/>
      <c r="D1196" s="11"/>
      <c r="E1196" s="26" t="s">
        <v>44</v>
      </c>
      <c r="F1196" s="17" t="s">
        <v>17</v>
      </c>
    </row>
    <row r="1197" spans="1:6" x14ac:dyDescent="0.3">
      <c r="A1197" s="70">
        <v>44123</v>
      </c>
      <c r="B1197" s="11">
        <v>22</v>
      </c>
      <c r="C1197" s="87"/>
      <c r="D1197" s="11"/>
      <c r="E1197" s="26" t="s">
        <v>44</v>
      </c>
      <c r="F1197" s="17" t="s">
        <v>17</v>
      </c>
    </row>
    <row r="1198" spans="1:6" x14ac:dyDescent="0.3">
      <c r="A1198" s="70">
        <v>44123</v>
      </c>
      <c r="B1198" s="11">
        <v>17</v>
      </c>
      <c r="C1198" s="87"/>
      <c r="D1198" s="11"/>
      <c r="E1198" s="26" t="s">
        <v>44</v>
      </c>
      <c r="F1198" s="17" t="s">
        <v>17</v>
      </c>
    </row>
    <row r="1199" spans="1:6" x14ac:dyDescent="0.3">
      <c r="A1199" s="70">
        <v>44125</v>
      </c>
      <c r="B1199" s="11">
        <v>17</v>
      </c>
      <c r="C1199" s="87"/>
      <c r="D1199" s="11"/>
      <c r="E1199" s="26" t="s">
        <v>44</v>
      </c>
      <c r="F1199" s="17" t="s">
        <v>17</v>
      </c>
    </row>
    <row r="1200" spans="1:6" x14ac:dyDescent="0.3">
      <c r="A1200" s="70">
        <v>44125</v>
      </c>
      <c r="B1200" s="11">
        <v>18</v>
      </c>
      <c r="C1200" s="87"/>
      <c r="D1200" s="11"/>
      <c r="E1200" s="26" t="s">
        <v>44</v>
      </c>
      <c r="F1200" s="17" t="s">
        <v>17</v>
      </c>
    </row>
    <row r="1201" spans="1:6" x14ac:dyDescent="0.3">
      <c r="A1201" s="70">
        <v>44127</v>
      </c>
      <c r="B1201" s="11">
        <v>16</v>
      </c>
      <c r="C1201" s="87"/>
      <c r="D1201" s="11"/>
      <c r="E1201" s="26" t="s">
        <v>44</v>
      </c>
      <c r="F1201" s="17" t="s">
        <v>17</v>
      </c>
    </row>
    <row r="1202" spans="1:6" x14ac:dyDescent="0.3">
      <c r="A1202" s="70">
        <v>44127</v>
      </c>
      <c r="B1202" s="11">
        <v>17</v>
      </c>
      <c r="C1202" s="87"/>
      <c r="D1202" s="11"/>
      <c r="E1202" s="26" t="s">
        <v>44</v>
      </c>
      <c r="F1202" s="17" t="s">
        <v>17</v>
      </c>
    </row>
    <row r="1203" spans="1:6" x14ac:dyDescent="0.3">
      <c r="A1203" s="70">
        <v>44153</v>
      </c>
      <c r="B1203" s="11">
        <v>16</v>
      </c>
      <c r="C1203" s="87"/>
      <c r="D1203" s="11"/>
      <c r="E1203" s="26" t="s">
        <v>44</v>
      </c>
      <c r="F1203" s="17" t="s">
        <v>17</v>
      </c>
    </row>
    <row r="1204" spans="1:6" x14ac:dyDescent="0.3">
      <c r="A1204" s="70">
        <v>44153</v>
      </c>
      <c r="B1204" s="11">
        <v>17</v>
      </c>
      <c r="C1204" s="87"/>
      <c r="D1204" s="11"/>
      <c r="E1204" s="26" t="s">
        <v>44</v>
      </c>
      <c r="F1204" s="17" t="s">
        <v>17</v>
      </c>
    </row>
    <row r="1205" spans="1:6" x14ac:dyDescent="0.3">
      <c r="A1205" s="70">
        <v>44155</v>
      </c>
      <c r="B1205" s="11">
        <v>17</v>
      </c>
      <c r="C1205" s="87"/>
      <c r="D1205" s="11"/>
      <c r="E1205" s="26" t="s">
        <v>44</v>
      </c>
      <c r="F1205" s="17" t="s">
        <v>17</v>
      </c>
    </row>
    <row r="1206" spans="1:6" x14ac:dyDescent="0.3">
      <c r="A1206" s="70">
        <v>44155</v>
      </c>
      <c r="B1206" s="11">
        <v>17</v>
      </c>
      <c r="C1206" s="87"/>
      <c r="D1206" s="11"/>
      <c r="E1206" s="26" t="s">
        <v>44</v>
      </c>
      <c r="F1206" s="17" t="s">
        <v>17</v>
      </c>
    </row>
    <row r="1207" spans="1:6" x14ac:dyDescent="0.3">
      <c r="A1207" s="70">
        <v>44158</v>
      </c>
      <c r="B1207" s="11">
        <v>17</v>
      </c>
      <c r="C1207" s="87"/>
      <c r="D1207" s="11"/>
      <c r="E1207" s="26" t="s">
        <v>44</v>
      </c>
      <c r="F1207" s="17" t="s">
        <v>17</v>
      </c>
    </row>
    <row r="1208" spans="1:6" x14ac:dyDescent="0.3">
      <c r="A1208" s="70">
        <v>44158</v>
      </c>
      <c r="B1208" s="11">
        <v>17</v>
      </c>
      <c r="C1208" s="87"/>
      <c r="D1208" s="11"/>
      <c r="E1208" s="26" t="s">
        <v>44</v>
      </c>
      <c r="F1208" s="17" t="s">
        <v>17</v>
      </c>
    </row>
    <row r="1209" spans="1:6" x14ac:dyDescent="0.3">
      <c r="A1209" s="70">
        <v>44160</v>
      </c>
      <c r="B1209" s="11">
        <v>19</v>
      </c>
      <c r="C1209" s="87"/>
      <c r="D1209" s="11"/>
      <c r="E1209" s="26" t="s">
        <v>44</v>
      </c>
      <c r="F1209" s="17" t="s">
        <v>17</v>
      </c>
    </row>
    <row r="1210" spans="1:6" x14ac:dyDescent="0.3">
      <c r="A1210" s="70">
        <v>44160</v>
      </c>
      <c r="B1210" s="11">
        <v>16</v>
      </c>
      <c r="C1210" s="87"/>
      <c r="D1210" s="11"/>
      <c r="E1210" s="26" t="s">
        <v>44</v>
      </c>
      <c r="F1210" s="17" t="s">
        <v>17</v>
      </c>
    </row>
    <row r="1211" spans="1:6" x14ac:dyDescent="0.3">
      <c r="A1211" s="70">
        <v>44162</v>
      </c>
      <c r="B1211" s="11">
        <v>16</v>
      </c>
      <c r="C1211" s="87"/>
      <c r="D1211" s="11"/>
      <c r="E1211" s="26" t="s">
        <v>44</v>
      </c>
      <c r="F1211" s="17" t="s">
        <v>17</v>
      </c>
    </row>
    <row r="1212" spans="1:6" x14ac:dyDescent="0.3">
      <c r="A1212" s="70">
        <v>44162</v>
      </c>
      <c r="B1212" s="11">
        <v>16</v>
      </c>
      <c r="C1212" s="87"/>
      <c r="D1212" s="11"/>
      <c r="E1212" s="26" t="s">
        <v>44</v>
      </c>
      <c r="F1212" s="17" t="s">
        <v>17</v>
      </c>
    </row>
    <row r="1213" spans="1:6" x14ac:dyDescent="0.3">
      <c r="A1213" s="70">
        <v>44165</v>
      </c>
      <c r="B1213" s="11">
        <v>17</v>
      </c>
      <c r="C1213" s="87"/>
      <c r="D1213" s="11"/>
      <c r="E1213" s="26" t="s">
        <v>44</v>
      </c>
      <c r="F1213" s="17" t="s">
        <v>17</v>
      </c>
    </row>
    <row r="1214" spans="1:6" x14ac:dyDescent="0.3">
      <c r="A1214" s="70">
        <v>44165</v>
      </c>
      <c r="B1214" s="11">
        <v>17</v>
      </c>
      <c r="C1214" s="87"/>
      <c r="D1214" s="11"/>
      <c r="E1214" s="26" t="s">
        <v>44</v>
      </c>
      <c r="F1214" s="17" t="s">
        <v>17</v>
      </c>
    </row>
    <row r="1215" spans="1:6" x14ac:dyDescent="0.3">
      <c r="A1215" s="70">
        <v>44167</v>
      </c>
      <c r="B1215" s="11">
        <v>18</v>
      </c>
      <c r="C1215" s="87"/>
      <c r="D1215" s="11"/>
      <c r="E1215" s="26" t="s">
        <v>44</v>
      </c>
      <c r="F1215" s="17" t="s">
        <v>17</v>
      </c>
    </row>
    <row r="1216" spans="1:6" x14ac:dyDescent="0.3">
      <c r="A1216" s="70">
        <v>44167</v>
      </c>
      <c r="B1216" s="11">
        <v>16</v>
      </c>
      <c r="C1216" s="87"/>
      <c r="D1216" s="11"/>
      <c r="E1216" s="26" t="s">
        <v>44</v>
      </c>
      <c r="F1216" s="17" t="s">
        <v>17</v>
      </c>
    </row>
    <row r="1217" spans="1:6" x14ac:dyDescent="0.3">
      <c r="A1217" s="70">
        <v>44169</v>
      </c>
      <c r="B1217" s="11">
        <v>19</v>
      </c>
      <c r="C1217" s="87"/>
      <c r="D1217" s="11"/>
      <c r="E1217" s="26" t="s">
        <v>44</v>
      </c>
      <c r="F1217" s="17" t="s">
        <v>17</v>
      </c>
    </row>
    <row r="1218" spans="1:6" x14ac:dyDescent="0.3">
      <c r="A1218" s="70">
        <v>44169</v>
      </c>
      <c r="B1218" s="11">
        <v>18</v>
      </c>
      <c r="C1218" s="87"/>
      <c r="D1218" s="11"/>
      <c r="E1218" s="26" t="s">
        <v>44</v>
      </c>
      <c r="F1218" s="17" t="s">
        <v>17</v>
      </c>
    </row>
    <row r="1219" spans="1:6" x14ac:dyDescent="0.3">
      <c r="A1219" s="70">
        <v>44172</v>
      </c>
      <c r="B1219" s="11">
        <v>24</v>
      </c>
      <c r="C1219" s="87"/>
      <c r="D1219" s="11"/>
      <c r="E1219" s="26" t="s">
        <v>44</v>
      </c>
      <c r="F1219" s="17" t="s">
        <v>17</v>
      </c>
    </row>
    <row r="1220" spans="1:6" x14ac:dyDescent="0.3">
      <c r="A1220" s="70">
        <v>44172</v>
      </c>
      <c r="B1220" s="11">
        <v>20</v>
      </c>
      <c r="C1220" s="87">
        <v>20</v>
      </c>
      <c r="D1220" s="35">
        <v>20</v>
      </c>
      <c r="E1220" s="26" t="s">
        <v>44</v>
      </c>
      <c r="F1220" s="17" t="s">
        <v>17</v>
      </c>
    </row>
    <row r="1221" spans="1:6" x14ac:dyDescent="0.3">
      <c r="A1221" s="70">
        <v>44174</v>
      </c>
      <c r="B1221" s="11">
        <v>18</v>
      </c>
      <c r="C1221" s="87"/>
      <c r="D1221" s="11"/>
      <c r="E1221" s="26" t="s">
        <v>44</v>
      </c>
      <c r="F1221" s="17" t="s">
        <v>17</v>
      </c>
    </row>
    <row r="1222" spans="1:6" x14ac:dyDescent="0.3">
      <c r="A1222" s="70">
        <v>44174</v>
      </c>
      <c r="B1222" s="11">
        <v>22</v>
      </c>
      <c r="C1222" s="87"/>
      <c r="D1222" s="11"/>
      <c r="E1222" s="26" t="s">
        <v>44</v>
      </c>
      <c r="F1222" s="17" t="s">
        <v>17</v>
      </c>
    </row>
    <row r="1223" spans="1:6" x14ac:dyDescent="0.3">
      <c r="A1223" s="70">
        <v>44176</v>
      </c>
      <c r="B1223" s="11">
        <v>20</v>
      </c>
      <c r="C1223" s="87"/>
      <c r="D1223" s="11"/>
      <c r="E1223" s="26" t="s">
        <v>44</v>
      </c>
      <c r="F1223" s="17" t="s">
        <v>17</v>
      </c>
    </row>
    <row r="1224" spans="1:6" x14ac:dyDescent="0.3">
      <c r="A1224" s="70">
        <v>44176</v>
      </c>
      <c r="B1224" s="11">
        <v>17</v>
      </c>
      <c r="C1224" s="87"/>
      <c r="D1224" s="11"/>
      <c r="E1224" s="26" t="s">
        <v>44</v>
      </c>
      <c r="F1224" s="17" t="s">
        <v>17</v>
      </c>
    </row>
    <row r="1225" spans="1:6" x14ac:dyDescent="0.3">
      <c r="A1225" s="70">
        <v>44179</v>
      </c>
      <c r="B1225" s="11">
        <v>19</v>
      </c>
      <c r="C1225" s="87"/>
      <c r="D1225" s="11"/>
      <c r="E1225" s="26" t="s">
        <v>44</v>
      </c>
      <c r="F1225" s="17" t="s">
        <v>17</v>
      </c>
    </row>
    <row r="1226" spans="1:6" x14ac:dyDescent="0.3">
      <c r="A1226" s="70">
        <v>44179</v>
      </c>
      <c r="B1226" s="11">
        <v>16</v>
      </c>
      <c r="C1226" s="87"/>
      <c r="D1226" s="11"/>
      <c r="E1226" s="26" t="s">
        <v>44</v>
      </c>
      <c r="F1226" s="17" t="s">
        <v>17</v>
      </c>
    </row>
    <row r="1227" spans="1:6" x14ac:dyDescent="0.3">
      <c r="A1227" s="70">
        <v>44181</v>
      </c>
      <c r="B1227" s="11">
        <v>18</v>
      </c>
      <c r="C1227" s="87"/>
      <c r="D1227" s="11"/>
      <c r="E1227" s="26" t="s">
        <v>44</v>
      </c>
      <c r="F1227" s="17" t="s">
        <v>17</v>
      </c>
    </row>
    <row r="1228" spans="1:6" x14ac:dyDescent="0.3">
      <c r="A1228" s="70">
        <v>44181</v>
      </c>
      <c r="B1228" s="11">
        <v>18</v>
      </c>
      <c r="C1228" s="87"/>
      <c r="D1228" s="11"/>
      <c r="E1228" s="26" t="s">
        <v>44</v>
      </c>
      <c r="F1228" s="17" t="s">
        <v>17</v>
      </c>
    </row>
    <row r="1229" spans="1:6" x14ac:dyDescent="0.3">
      <c r="A1229" s="70">
        <v>44186</v>
      </c>
      <c r="B1229" s="11">
        <v>20</v>
      </c>
      <c r="C1229" s="87"/>
      <c r="D1229" s="11"/>
      <c r="E1229" s="26" t="s">
        <v>44</v>
      </c>
      <c r="F1229" s="17" t="s">
        <v>17</v>
      </c>
    </row>
    <row r="1230" spans="1:6" x14ac:dyDescent="0.3">
      <c r="A1230" s="70">
        <v>44186</v>
      </c>
      <c r="B1230" s="11">
        <v>17</v>
      </c>
      <c r="C1230" s="87"/>
      <c r="D1230" s="11"/>
      <c r="E1230" s="26" t="s">
        <v>44</v>
      </c>
      <c r="F1230" s="17" t="s">
        <v>17</v>
      </c>
    </row>
    <row r="1231" spans="1:6" x14ac:dyDescent="0.3">
      <c r="A1231" s="70">
        <v>44188</v>
      </c>
      <c r="B1231" s="11">
        <v>19</v>
      </c>
      <c r="C1231" s="87"/>
      <c r="D1231" s="11"/>
      <c r="E1231" s="26" t="s">
        <v>44</v>
      </c>
      <c r="F1231" s="17" t="s">
        <v>17</v>
      </c>
    </row>
    <row r="1232" spans="1:6" x14ac:dyDescent="0.3">
      <c r="A1232" s="70">
        <v>44188</v>
      </c>
      <c r="B1232" s="11">
        <v>18</v>
      </c>
      <c r="C1232" s="87"/>
      <c r="D1232" s="11"/>
      <c r="E1232" s="26" t="s">
        <v>44</v>
      </c>
      <c r="F1232" s="17" t="s">
        <v>17</v>
      </c>
    </row>
    <row r="1233" spans="1:6" x14ac:dyDescent="0.3">
      <c r="A1233" s="70">
        <v>44193</v>
      </c>
      <c r="B1233" s="11">
        <v>19</v>
      </c>
      <c r="C1233" s="87"/>
      <c r="D1233" s="11"/>
      <c r="E1233" s="26" t="s">
        <v>44</v>
      </c>
      <c r="F1233" s="17" t="s">
        <v>17</v>
      </c>
    </row>
    <row r="1234" spans="1:6" x14ac:dyDescent="0.3">
      <c r="A1234" s="70">
        <v>44193</v>
      </c>
      <c r="B1234" s="11">
        <v>19</v>
      </c>
      <c r="C1234" s="87"/>
      <c r="D1234" s="11"/>
      <c r="E1234" s="26" t="s">
        <v>44</v>
      </c>
      <c r="F1234" s="17" t="s">
        <v>17</v>
      </c>
    </row>
    <row r="1235" spans="1:6" x14ac:dyDescent="0.3">
      <c r="A1235" s="70" t="s">
        <v>26</v>
      </c>
      <c r="B1235" s="11">
        <v>18</v>
      </c>
      <c r="C1235" s="87"/>
      <c r="D1235" s="11"/>
      <c r="E1235" s="26" t="s">
        <v>44</v>
      </c>
      <c r="F1235" s="17" t="s">
        <v>17</v>
      </c>
    </row>
    <row r="1236" spans="1:6" x14ac:dyDescent="0.3">
      <c r="A1236" s="70" t="s">
        <v>26</v>
      </c>
      <c r="B1236" s="11">
        <v>20</v>
      </c>
      <c r="C1236" s="87"/>
      <c r="D1236" s="11"/>
      <c r="E1236" s="26" t="s">
        <v>44</v>
      </c>
      <c r="F1236" s="17" t="s">
        <v>17</v>
      </c>
    </row>
    <row r="1237" spans="1:6" x14ac:dyDescent="0.3">
      <c r="A1237" s="70" t="s">
        <v>27</v>
      </c>
      <c r="B1237" s="11">
        <v>18</v>
      </c>
      <c r="C1237" s="87"/>
      <c r="D1237" s="11"/>
      <c r="E1237" s="26" t="s">
        <v>44</v>
      </c>
      <c r="F1237" s="17" t="s">
        <v>17</v>
      </c>
    </row>
    <row r="1238" spans="1:6" x14ac:dyDescent="0.3">
      <c r="A1238" s="70" t="s">
        <v>27</v>
      </c>
      <c r="B1238" s="11">
        <v>19</v>
      </c>
      <c r="C1238" s="87"/>
      <c r="D1238" s="11"/>
      <c r="E1238" s="26" t="s">
        <v>44</v>
      </c>
      <c r="F1238" s="17" t="s">
        <v>17</v>
      </c>
    </row>
    <row r="1239" spans="1:6" x14ac:dyDescent="0.3">
      <c r="A1239" s="70">
        <v>44202</v>
      </c>
      <c r="B1239" s="11">
        <v>18</v>
      </c>
      <c r="C1239" s="87"/>
      <c r="D1239" s="11"/>
      <c r="E1239" s="26" t="s">
        <v>44</v>
      </c>
      <c r="F1239" s="17" t="s">
        <v>17</v>
      </c>
    </row>
    <row r="1240" spans="1:6" x14ac:dyDescent="0.3">
      <c r="A1240" s="70">
        <v>44202</v>
      </c>
      <c r="B1240" s="11">
        <v>18</v>
      </c>
      <c r="C1240" s="87"/>
      <c r="D1240" s="11"/>
      <c r="E1240" s="26" t="s">
        <v>44</v>
      </c>
      <c r="F1240" s="17" t="s">
        <v>17</v>
      </c>
    </row>
    <row r="1241" spans="1:6" x14ac:dyDescent="0.3">
      <c r="A1241" s="70">
        <v>44209</v>
      </c>
      <c r="B1241" s="11">
        <v>19</v>
      </c>
      <c r="C1241" s="87"/>
      <c r="D1241" s="11"/>
      <c r="E1241" s="26" t="s">
        <v>44</v>
      </c>
      <c r="F1241" s="17" t="s">
        <v>17</v>
      </c>
    </row>
    <row r="1242" spans="1:6" x14ac:dyDescent="0.3">
      <c r="A1242" s="70">
        <v>44209</v>
      </c>
      <c r="B1242" s="11">
        <v>16</v>
      </c>
      <c r="C1242" s="87"/>
      <c r="D1242" s="11"/>
      <c r="E1242" s="26" t="s">
        <v>44</v>
      </c>
      <c r="F1242" s="17" t="s">
        <v>17</v>
      </c>
    </row>
    <row r="1243" spans="1:6" x14ac:dyDescent="0.3">
      <c r="A1243" s="70">
        <v>44211</v>
      </c>
      <c r="B1243" s="11">
        <v>17</v>
      </c>
      <c r="C1243" s="87"/>
      <c r="D1243" s="11"/>
      <c r="E1243" s="26" t="s">
        <v>44</v>
      </c>
      <c r="F1243" s="17" t="s">
        <v>17</v>
      </c>
    </row>
    <row r="1244" spans="1:6" x14ac:dyDescent="0.3">
      <c r="A1244" s="70">
        <v>44211</v>
      </c>
      <c r="B1244" s="11">
        <v>16</v>
      </c>
      <c r="C1244" s="87"/>
      <c r="D1244" s="11"/>
      <c r="E1244" s="26" t="s">
        <v>44</v>
      </c>
      <c r="F1244" s="17" t="s">
        <v>17</v>
      </c>
    </row>
    <row r="1245" spans="1:6" x14ac:dyDescent="0.3">
      <c r="A1245" s="70">
        <v>44214</v>
      </c>
      <c r="B1245" s="11">
        <v>16</v>
      </c>
      <c r="C1245" s="87"/>
      <c r="D1245" s="11"/>
      <c r="E1245" s="26" t="s">
        <v>44</v>
      </c>
      <c r="F1245" s="17" t="s">
        <v>17</v>
      </c>
    </row>
    <row r="1246" spans="1:6" x14ac:dyDescent="0.3">
      <c r="A1246" s="70">
        <v>44214</v>
      </c>
      <c r="B1246" s="11">
        <v>16</v>
      </c>
      <c r="C1246" s="87"/>
      <c r="D1246" s="11"/>
      <c r="E1246" s="26" t="s">
        <v>44</v>
      </c>
      <c r="F1246" s="17" t="s">
        <v>17</v>
      </c>
    </row>
    <row r="1247" spans="1:6" x14ac:dyDescent="0.3">
      <c r="A1247" s="70">
        <v>44216</v>
      </c>
      <c r="B1247" s="11">
        <v>21</v>
      </c>
      <c r="C1247" s="87"/>
      <c r="D1247" s="11"/>
      <c r="E1247" s="26" t="s">
        <v>44</v>
      </c>
      <c r="F1247" s="17" t="s">
        <v>17</v>
      </c>
    </row>
    <row r="1248" spans="1:6" x14ac:dyDescent="0.3">
      <c r="A1248" s="70">
        <v>44216</v>
      </c>
      <c r="B1248" s="11">
        <v>16</v>
      </c>
      <c r="C1248" s="87"/>
      <c r="D1248" s="11"/>
      <c r="E1248" s="26" t="s">
        <v>44</v>
      </c>
      <c r="F1248" s="17" t="s">
        <v>17</v>
      </c>
    </row>
    <row r="1249" spans="1:6" x14ac:dyDescent="0.3">
      <c r="A1249" s="70">
        <v>44218</v>
      </c>
      <c r="B1249" s="11">
        <v>19</v>
      </c>
      <c r="C1249" s="87"/>
      <c r="D1249" s="11"/>
      <c r="E1249" s="26" t="s">
        <v>44</v>
      </c>
      <c r="F1249" s="17" t="s">
        <v>17</v>
      </c>
    </row>
    <row r="1250" spans="1:6" x14ac:dyDescent="0.3">
      <c r="A1250" s="70">
        <v>44218</v>
      </c>
      <c r="B1250" s="11">
        <v>19</v>
      </c>
      <c r="C1250" s="87"/>
      <c r="D1250" s="11"/>
      <c r="E1250" s="26" t="s">
        <v>44</v>
      </c>
      <c r="F1250" s="17" t="s">
        <v>17</v>
      </c>
    </row>
    <row r="1251" spans="1:6" x14ac:dyDescent="0.3">
      <c r="A1251" s="70">
        <v>44221</v>
      </c>
      <c r="B1251" s="11">
        <v>17</v>
      </c>
      <c r="C1251" s="87"/>
      <c r="D1251" s="11"/>
      <c r="E1251" s="26" t="s">
        <v>44</v>
      </c>
      <c r="F1251" s="17" t="s">
        <v>17</v>
      </c>
    </row>
    <row r="1252" spans="1:6" x14ac:dyDescent="0.3">
      <c r="A1252" s="70">
        <v>44221</v>
      </c>
      <c r="B1252" s="11">
        <v>17</v>
      </c>
      <c r="C1252" s="87"/>
      <c r="D1252" s="11"/>
      <c r="E1252" s="26" t="s">
        <v>44</v>
      </c>
      <c r="F1252" s="17" t="s">
        <v>17</v>
      </c>
    </row>
    <row r="1253" spans="1:6" x14ac:dyDescent="0.3">
      <c r="A1253" s="70">
        <v>44223</v>
      </c>
      <c r="B1253" s="11">
        <v>17</v>
      </c>
      <c r="C1253" s="87"/>
      <c r="D1253" s="11"/>
      <c r="E1253" s="26" t="s">
        <v>44</v>
      </c>
      <c r="F1253" s="17" t="s">
        <v>17</v>
      </c>
    </row>
    <row r="1254" spans="1:6" x14ac:dyDescent="0.3">
      <c r="A1254" s="70">
        <v>44223</v>
      </c>
      <c r="B1254" s="11">
        <v>17</v>
      </c>
      <c r="C1254" s="87"/>
      <c r="D1254" s="11"/>
      <c r="E1254" s="26" t="s">
        <v>44</v>
      </c>
      <c r="F1254" s="17" t="s">
        <v>17</v>
      </c>
    </row>
    <row r="1255" spans="1:6" x14ac:dyDescent="0.3">
      <c r="A1255" s="70">
        <v>44225</v>
      </c>
      <c r="B1255" s="11">
        <v>16</v>
      </c>
      <c r="C1255" s="87"/>
      <c r="D1255" s="11"/>
      <c r="E1255" s="26" t="s">
        <v>44</v>
      </c>
      <c r="F1255" s="17" t="s">
        <v>17</v>
      </c>
    </row>
    <row r="1256" spans="1:6" x14ac:dyDescent="0.3">
      <c r="A1256" s="70">
        <v>44225</v>
      </c>
      <c r="B1256" s="11">
        <v>7</v>
      </c>
      <c r="C1256" s="87"/>
      <c r="D1256" s="11"/>
      <c r="E1256" s="26" t="s">
        <v>44</v>
      </c>
      <c r="F1256" s="17" t="s">
        <v>17</v>
      </c>
    </row>
    <row r="1257" spans="1:6" x14ac:dyDescent="0.3">
      <c r="A1257" s="70">
        <v>44265</v>
      </c>
      <c r="B1257" s="11">
        <v>16</v>
      </c>
      <c r="C1257" s="87"/>
      <c r="D1257" s="11"/>
      <c r="E1257" s="26" t="s">
        <v>44</v>
      </c>
      <c r="F1257" s="17" t="s">
        <v>17</v>
      </c>
    </row>
    <row r="1258" spans="1:6" ht="15.6" x14ac:dyDescent="0.3">
      <c r="A1258" s="75">
        <v>43608</v>
      </c>
      <c r="B1258" s="11">
        <v>51</v>
      </c>
      <c r="C1258" s="11">
        <v>51</v>
      </c>
      <c r="D1258" s="11">
        <v>51</v>
      </c>
      <c r="E1258" s="26" t="s">
        <v>45</v>
      </c>
      <c r="F1258" s="17" t="s">
        <v>17</v>
      </c>
    </row>
    <row r="1259" spans="1:6" ht="15.6" x14ac:dyDescent="0.3">
      <c r="A1259" s="75">
        <v>43608</v>
      </c>
      <c r="B1259" s="11">
        <v>65</v>
      </c>
      <c r="C1259" s="11">
        <v>65</v>
      </c>
      <c r="D1259" s="11">
        <v>65</v>
      </c>
      <c r="E1259" s="26" t="s">
        <v>45</v>
      </c>
      <c r="F1259" s="17" t="s">
        <v>17</v>
      </c>
    </row>
    <row r="1260" spans="1:6" x14ac:dyDescent="0.3">
      <c r="A1260" s="73">
        <v>43762</v>
      </c>
      <c r="B1260" s="11">
        <v>31</v>
      </c>
      <c r="C1260" s="11">
        <v>31</v>
      </c>
      <c r="D1260" s="11">
        <v>31</v>
      </c>
      <c r="E1260" s="26" t="s">
        <v>45</v>
      </c>
      <c r="F1260" s="17" t="s">
        <v>17</v>
      </c>
    </row>
    <row r="1261" spans="1:6" x14ac:dyDescent="0.3">
      <c r="A1261" s="73">
        <v>43846</v>
      </c>
      <c r="B1261" s="11">
        <v>1</v>
      </c>
      <c r="C1261" s="11">
        <v>1</v>
      </c>
      <c r="D1261" s="11">
        <v>1</v>
      </c>
      <c r="E1261" s="26" t="s">
        <v>45</v>
      </c>
      <c r="F1261" s="17" t="s">
        <v>17</v>
      </c>
    </row>
    <row r="1262" spans="1:6" ht="15.6" x14ac:dyDescent="0.3">
      <c r="A1262" s="75">
        <v>43591</v>
      </c>
      <c r="B1262" s="14">
        <v>19</v>
      </c>
      <c r="C1262" s="14">
        <v>19</v>
      </c>
      <c r="D1262" s="14">
        <v>19</v>
      </c>
      <c r="E1262" s="26" t="s">
        <v>46</v>
      </c>
      <c r="F1262" s="17" t="s">
        <v>17</v>
      </c>
    </row>
    <row r="1263" spans="1:6" ht="15.6" x14ac:dyDescent="0.3">
      <c r="A1263" s="75">
        <v>43591</v>
      </c>
      <c r="B1263" s="14">
        <v>15</v>
      </c>
      <c r="C1263" s="14">
        <v>15</v>
      </c>
      <c r="D1263" s="14">
        <v>15</v>
      </c>
      <c r="E1263" s="26" t="s">
        <v>46</v>
      </c>
      <c r="F1263" s="17" t="s">
        <v>17</v>
      </c>
    </row>
    <row r="1264" spans="1:6" ht="15.6" x14ac:dyDescent="0.3">
      <c r="A1264" s="75">
        <v>43591</v>
      </c>
      <c r="B1264" s="14">
        <v>11</v>
      </c>
      <c r="C1264" s="14">
        <v>11</v>
      </c>
      <c r="D1264" s="14">
        <v>11</v>
      </c>
      <c r="E1264" s="26" t="s">
        <v>46</v>
      </c>
      <c r="F1264" s="17" t="s">
        <v>17</v>
      </c>
    </row>
    <row r="1265" spans="1:6" ht="15.6" x14ac:dyDescent="0.3">
      <c r="A1265" s="75">
        <v>43628</v>
      </c>
      <c r="B1265" s="14">
        <v>26</v>
      </c>
      <c r="C1265" s="14">
        <v>26</v>
      </c>
      <c r="D1265" s="14">
        <v>26</v>
      </c>
      <c r="E1265" s="26" t="s">
        <v>46</v>
      </c>
      <c r="F1265" s="17" t="s">
        <v>17</v>
      </c>
    </row>
    <row r="1266" spans="1:6" ht="15.6" x14ac:dyDescent="0.3">
      <c r="A1266" s="75">
        <v>43628</v>
      </c>
      <c r="B1266" s="14">
        <v>17</v>
      </c>
      <c r="C1266" s="14">
        <v>17</v>
      </c>
      <c r="D1266" s="14">
        <v>17</v>
      </c>
      <c r="E1266" s="26" t="s">
        <v>46</v>
      </c>
      <c r="F1266" s="17" t="s">
        <v>17</v>
      </c>
    </row>
    <row r="1267" spans="1:6" ht="15.6" x14ac:dyDescent="0.3">
      <c r="A1267" s="75">
        <v>43628</v>
      </c>
      <c r="B1267" s="14">
        <v>15</v>
      </c>
      <c r="C1267" s="14">
        <v>15</v>
      </c>
      <c r="D1267" s="14">
        <v>15</v>
      </c>
      <c r="E1267" s="26" t="s">
        <v>46</v>
      </c>
      <c r="F1267" s="17" t="s">
        <v>17</v>
      </c>
    </row>
    <row r="1268" spans="1:6" ht="15.6" x14ac:dyDescent="0.3">
      <c r="A1268" s="75">
        <v>43663</v>
      </c>
      <c r="B1268" s="14">
        <v>22</v>
      </c>
      <c r="C1268" s="14">
        <v>22</v>
      </c>
      <c r="D1268" s="14">
        <v>22</v>
      </c>
      <c r="E1268" s="26" t="s">
        <v>46</v>
      </c>
      <c r="F1268" s="17" t="s">
        <v>17</v>
      </c>
    </row>
    <row r="1269" spans="1:6" ht="15.6" x14ac:dyDescent="0.3">
      <c r="A1269" s="75">
        <v>43663</v>
      </c>
      <c r="B1269" s="14">
        <v>27</v>
      </c>
      <c r="C1269" s="14">
        <v>27</v>
      </c>
      <c r="D1269" s="14">
        <v>27</v>
      </c>
      <c r="E1269" s="26" t="s">
        <v>46</v>
      </c>
      <c r="F1269" s="17" t="s">
        <v>17</v>
      </c>
    </row>
    <row r="1270" spans="1:6" ht="15.6" x14ac:dyDescent="0.3">
      <c r="A1270" s="75">
        <v>43663</v>
      </c>
      <c r="B1270" s="14">
        <v>22</v>
      </c>
      <c r="C1270" s="14">
        <v>22</v>
      </c>
      <c r="D1270" s="14">
        <v>22</v>
      </c>
      <c r="E1270" s="26" t="s">
        <v>46</v>
      </c>
      <c r="F1270" s="17" t="s">
        <v>17</v>
      </c>
    </row>
    <row r="1271" spans="1:6" ht="15.6" x14ac:dyDescent="0.3">
      <c r="A1271" s="75">
        <v>43691</v>
      </c>
      <c r="B1271" s="14">
        <v>31</v>
      </c>
      <c r="C1271" s="14">
        <v>31</v>
      </c>
      <c r="D1271" s="14">
        <v>31</v>
      </c>
      <c r="E1271" s="26" t="s">
        <v>46</v>
      </c>
      <c r="F1271" s="17" t="s">
        <v>17</v>
      </c>
    </row>
    <row r="1272" spans="1:6" ht="15.6" x14ac:dyDescent="0.3">
      <c r="A1272" s="75">
        <v>43691</v>
      </c>
      <c r="B1272" s="14">
        <v>26</v>
      </c>
      <c r="C1272" s="14">
        <v>26</v>
      </c>
      <c r="D1272" s="14">
        <v>26</v>
      </c>
      <c r="E1272" s="26" t="s">
        <v>46</v>
      </c>
      <c r="F1272" s="17" t="s">
        <v>17</v>
      </c>
    </row>
    <row r="1273" spans="1:6" ht="15.6" x14ac:dyDescent="0.3">
      <c r="A1273" s="75">
        <v>43691</v>
      </c>
      <c r="B1273" s="14">
        <v>18</v>
      </c>
      <c r="C1273" s="14">
        <v>18</v>
      </c>
      <c r="D1273" s="14">
        <v>18</v>
      </c>
      <c r="E1273" s="26" t="s">
        <v>46</v>
      </c>
      <c r="F1273" s="17" t="s">
        <v>17</v>
      </c>
    </row>
    <row r="1274" spans="1:6" ht="15.6" x14ac:dyDescent="0.3">
      <c r="A1274" s="75">
        <v>43714</v>
      </c>
      <c r="B1274" s="14">
        <v>20</v>
      </c>
      <c r="C1274" s="14">
        <v>20</v>
      </c>
      <c r="D1274" s="14">
        <v>20</v>
      </c>
      <c r="E1274" s="26" t="s">
        <v>46</v>
      </c>
      <c r="F1274" s="17" t="s">
        <v>17</v>
      </c>
    </row>
    <row r="1275" spans="1:6" ht="15.6" x14ac:dyDescent="0.3">
      <c r="A1275" s="75">
        <v>43714</v>
      </c>
      <c r="B1275" s="14">
        <v>23</v>
      </c>
      <c r="C1275" s="14">
        <v>23</v>
      </c>
      <c r="D1275" s="14">
        <v>23</v>
      </c>
      <c r="E1275" s="26" t="s">
        <v>46</v>
      </c>
      <c r="F1275" s="17" t="s">
        <v>17</v>
      </c>
    </row>
    <row r="1276" spans="1:6" ht="15.6" x14ac:dyDescent="0.3">
      <c r="A1276" s="75">
        <v>43714</v>
      </c>
      <c r="B1276" s="14">
        <v>22</v>
      </c>
      <c r="C1276" s="14">
        <v>22</v>
      </c>
      <c r="D1276" s="14">
        <v>22</v>
      </c>
      <c r="E1276" s="26" t="s">
        <v>46</v>
      </c>
      <c r="F1276" s="17" t="s">
        <v>17</v>
      </c>
    </row>
    <row r="1277" spans="1:6" ht="15.6" x14ac:dyDescent="0.3">
      <c r="A1277" s="75">
        <v>43714</v>
      </c>
      <c r="B1277" s="14">
        <v>23</v>
      </c>
      <c r="C1277" s="14">
        <v>23</v>
      </c>
      <c r="D1277" s="14">
        <v>23</v>
      </c>
      <c r="E1277" s="26" t="s">
        <v>46</v>
      </c>
      <c r="F1277" s="17" t="s">
        <v>17</v>
      </c>
    </row>
    <row r="1278" spans="1:6" ht="15.6" x14ac:dyDescent="0.3">
      <c r="A1278" s="75">
        <v>43780</v>
      </c>
      <c r="B1278" s="14">
        <v>14</v>
      </c>
      <c r="C1278" s="14">
        <v>14</v>
      </c>
      <c r="D1278" s="14">
        <v>14</v>
      </c>
      <c r="E1278" s="26" t="s">
        <v>46</v>
      </c>
      <c r="F1278" s="17" t="s">
        <v>17</v>
      </c>
    </row>
    <row r="1279" spans="1:6" ht="15.6" x14ac:dyDescent="0.3">
      <c r="A1279" s="75">
        <v>43780</v>
      </c>
      <c r="B1279" s="14">
        <v>12</v>
      </c>
      <c r="C1279" s="14">
        <v>12</v>
      </c>
      <c r="D1279" s="14">
        <v>12</v>
      </c>
      <c r="E1279" s="26" t="s">
        <v>46</v>
      </c>
      <c r="F1279" s="17" t="s">
        <v>17</v>
      </c>
    </row>
    <row r="1280" spans="1:6" ht="15.6" x14ac:dyDescent="0.3">
      <c r="A1280" s="75">
        <v>43780</v>
      </c>
      <c r="B1280" s="14">
        <v>10</v>
      </c>
      <c r="C1280" s="14">
        <v>10</v>
      </c>
      <c r="D1280" s="14">
        <v>10</v>
      </c>
      <c r="E1280" s="26" t="s">
        <v>46</v>
      </c>
      <c r="F1280" s="17" t="s">
        <v>17</v>
      </c>
    </row>
    <row r="1281" spans="1:6" ht="15.6" x14ac:dyDescent="0.3">
      <c r="A1281" s="75">
        <v>43780</v>
      </c>
      <c r="B1281" s="14">
        <v>15</v>
      </c>
      <c r="C1281" s="14">
        <v>15</v>
      </c>
      <c r="D1281" s="14">
        <v>15</v>
      </c>
      <c r="E1281" s="26" t="s">
        <v>46</v>
      </c>
      <c r="F1281" s="17" t="s">
        <v>17</v>
      </c>
    </row>
    <row r="1282" spans="1:6" ht="15.6" x14ac:dyDescent="0.3">
      <c r="A1282" s="75">
        <v>43808</v>
      </c>
      <c r="B1282" s="14">
        <v>13</v>
      </c>
      <c r="C1282" s="14">
        <v>13</v>
      </c>
      <c r="D1282" s="14">
        <v>13</v>
      </c>
      <c r="E1282" s="26" t="s">
        <v>46</v>
      </c>
      <c r="F1282" s="17" t="s">
        <v>17</v>
      </c>
    </row>
    <row r="1283" spans="1:6" ht="15.6" x14ac:dyDescent="0.3">
      <c r="A1283" s="75">
        <v>43808</v>
      </c>
      <c r="B1283" s="14">
        <v>14</v>
      </c>
      <c r="C1283" s="14">
        <v>14</v>
      </c>
      <c r="D1283" s="14">
        <v>14</v>
      </c>
      <c r="E1283" s="26" t="s">
        <v>46</v>
      </c>
      <c r="F1283" s="17" t="s">
        <v>17</v>
      </c>
    </row>
    <row r="1284" spans="1:6" ht="15.6" x14ac:dyDescent="0.3">
      <c r="A1284" s="75">
        <v>43808</v>
      </c>
      <c r="B1284" s="14">
        <v>13</v>
      </c>
      <c r="C1284" s="14">
        <v>13</v>
      </c>
      <c r="D1284" s="14">
        <v>13</v>
      </c>
      <c r="E1284" s="26" t="s">
        <v>46</v>
      </c>
      <c r="F1284" s="17" t="s">
        <v>17</v>
      </c>
    </row>
    <row r="1285" spans="1:6" ht="15.6" x14ac:dyDescent="0.3">
      <c r="A1285" s="75">
        <v>43808</v>
      </c>
      <c r="B1285" s="14">
        <v>13</v>
      </c>
      <c r="C1285" s="14">
        <v>13</v>
      </c>
      <c r="D1285" s="14">
        <v>13</v>
      </c>
      <c r="E1285" s="26" t="s">
        <v>46</v>
      </c>
      <c r="F1285" s="17" t="s">
        <v>17</v>
      </c>
    </row>
    <row r="1286" spans="1:6" ht="15.6" x14ac:dyDescent="0.3">
      <c r="A1286" s="9">
        <v>43836</v>
      </c>
      <c r="B1286" s="14">
        <v>11</v>
      </c>
      <c r="C1286" s="14">
        <v>11</v>
      </c>
      <c r="D1286" s="14">
        <v>11</v>
      </c>
      <c r="E1286" s="26" t="s">
        <v>46</v>
      </c>
      <c r="F1286" s="17" t="s">
        <v>17</v>
      </c>
    </row>
    <row r="1287" spans="1:6" ht="15.6" x14ac:dyDescent="0.3">
      <c r="A1287" s="9">
        <v>43836</v>
      </c>
      <c r="B1287" s="14">
        <v>11</v>
      </c>
      <c r="C1287" s="14">
        <v>11</v>
      </c>
      <c r="D1287" s="14">
        <v>11</v>
      </c>
      <c r="E1287" s="26" t="s">
        <v>46</v>
      </c>
      <c r="F1287" s="17" t="s">
        <v>17</v>
      </c>
    </row>
    <row r="1288" spans="1:6" ht="15.6" x14ac:dyDescent="0.3">
      <c r="A1288" s="9">
        <v>43836</v>
      </c>
      <c r="B1288" s="14">
        <v>12</v>
      </c>
      <c r="C1288" s="14">
        <v>12</v>
      </c>
      <c r="D1288" s="14">
        <v>12</v>
      </c>
      <c r="E1288" s="26" t="s">
        <v>46</v>
      </c>
      <c r="F1288" s="17" t="s">
        <v>17</v>
      </c>
    </row>
    <row r="1289" spans="1:6" ht="15.6" x14ac:dyDescent="0.3">
      <c r="A1289" s="9">
        <v>43836</v>
      </c>
      <c r="B1289" s="14">
        <v>12</v>
      </c>
      <c r="C1289" s="14">
        <v>12</v>
      </c>
      <c r="D1289" s="14">
        <v>12</v>
      </c>
      <c r="E1289" s="26" t="s">
        <v>46</v>
      </c>
      <c r="F1289" s="17" t="s">
        <v>17</v>
      </c>
    </row>
    <row r="1290" spans="1:6" ht="15.6" x14ac:dyDescent="0.3">
      <c r="A1290" s="9">
        <v>43861</v>
      </c>
      <c r="B1290" s="14">
        <v>12</v>
      </c>
      <c r="C1290" s="14">
        <v>12</v>
      </c>
      <c r="D1290" s="14">
        <v>12</v>
      </c>
      <c r="E1290" s="26" t="s">
        <v>46</v>
      </c>
      <c r="F1290" s="17" t="s">
        <v>17</v>
      </c>
    </row>
    <row r="1291" spans="1:6" ht="15.6" x14ac:dyDescent="0.3">
      <c r="A1291" s="9">
        <v>43861</v>
      </c>
      <c r="B1291" s="14">
        <v>14</v>
      </c>
      <c r="C1291" s="14">
        <v>14</v>
      </c>
      <c r="D1291" s="14">
        <v>14</v>
      </c>
      <c r="E1291" s="26" t="s">
        <v>46</v>
      </c>
      <c r="F1291" s="17" t="s">
        <v>17</v>
      </c>
    </row>
    <row r="1292" spans="1:6" ht="15.6" x14ac:dyDescent="0.3">
      <c r="A1292" s="9">
        <v>43861</v>
      </c>
      <c r="B1292" s="14">
        <v>12</v>
      </c>
      <c r="C1292" s="14">
        <v>12</v>
      </c>
      <c r="D1292" s="14">
        <v>12</v>
      </c>
      <c r="E1292" s="26" t="s">
        <v>46</v>
      </c>
      <c r="F1292" s="17" t="s">
        <v>17</v>
      </c>
    </row>
    <row r="1293" spans="1:6" ht="15.6" x14ac:dyDescent="0.3">
      <c r="A1293" s="9">
        <v>43861</v>
      </c>
      <c r="B1293" s="14">
        <v>12</v>
      </c>
      <c r="C1293" s="14">
        <v>12</v>
      </c>
      <c r="D1293" s="14">
        <v>12</v>
      </c>
      <c r="E1293" s="26" t="s">
        <v>46</v>
      </c>
      <c r="F1293" s="17" t="s">
        <v>17</v>
      </c>
    </row>
    <row r="1294" spans="1:6" ht="15.6" x14ac:dyDescent="0.3">
      <c r="A1294" s="9">
        <v>43878</v>
      </c>
      <c r="B1294" s="14">
        <v>12</v>
      </c>
      <c r="C1294" s="29">
        <v>12</v>
      </c>
      <c r="D1294" s="14">
        <v>12</v>
      </c>
      <c r="E1294" s="26" t="s">
        <v>46</v>
      </c>
      <c r="F1294" s="17" t="s">
        <v>17</v>
      </c>
    </row>
    <row r="1295" spans="1:6" ht="15.6" x14ac:dyDescent="0.3">
      <c r="A1295" s="9">
        <v>43878</v>
      </c>
      <c r="B1295" s="14">
        <v>13</v>
      </c>
      <c r="C1295" s="29">
        <v>13</v>
      </c>
      <c r="D1295" s="14">
        <v>13</v>
      </c>
      <c r="E1295" s="26" t="s">
        <v>46</v>
      </c>
      <c r="F1295" s="17" t="s">
        <v>17</v>
      </c>
    </row>
    <row r="1296" spans="1:6" ht="15.6" x14ac:dyDescent="0.3">
      <c r="A1296" s="9">
        <v>43878</v>
      </c>
      <c r="B1296" s="14">
        <v>12</v>
      </c>
      <c r="C1296" s="29">
        <v>12</v>
      </c>
      <c r="D1296" s="14">
        <v>12</v>
      </c>
      <c r="E1296" s="26" t="s">
        <v>46</v>
      </c>
      <c r="F1296" s="17" t="s">
        <v>17</v>
      </c>
    </row>
    <row r="1297" spans="1:6" ht="15.6" x14ac:dyDescent="0.3">
      <c r="A1297" s="9">
        <v>43878</v>
      </c>
      <c r="B1297" s="14">
        <v>14</v>
      </c>
      <c r="C1297" s="29">
        <v>14</v>
      </c>
      <c r="D1297" s="14">
        <v>14</v>
      </c>
      <c r="E1297" s="26" t="s">
        <v>46</v>
      </c>
      <c r="F1297" s="17" t="s">
        <v>17</v>
      </c>
    </row>
    <row r="1298" spans="1:6" ht="15.6" x14ac:dyDescent="0.3">
      <c r="A1298" s="9">
        <v>43899</v>
      </c>
      <c r="B1298" s="14">
        <v>13</v>
      </c>
      <c r="C1298" s="14">
        <v>13</v>
      </c>
      <c r="D1298" s="14">
        <v>13</v>
      </c>
      <c r="E1298" s="26" t="s">
        <v>46</v>
      </c>
      <c r="F1298" s="17" t="s">
        <v>17</v>
      </c>
    </row>
    <row r="1299" spans="1:6" ht="15.6" x14ac:dyDescent="0.3">
      <c r="A1299" s="9">
        <v>43899</v>
      </c>
      <c r="B1299" s="14">
        <v>13</v>
      </c>
      <c r="C1299" s="14">
        <v>13</v>
      </c>
      <c r="D1299" s="14">
        <v>13</v>
      </c>
      <c r="E1299" s="26" t="s">
        <v>46</v>
      </c>
      <c r="F1299" s="17" t="s">
        <v>17</v>
      </c>
    </row>
    <row r="1300" spans="1:6" ht="15.6" x14ac:dyDescent="0.3">
      <c r="A1300" s="9">
        <v>43899</v>
      </c>
      <c r="B1300" s="14">
        <v>15</v>
      </c>
      <c r="C1300" s="14">
        <v>15</v>
      </c>
      <c r="D1300" s="14">
        <v>15</v>
      </c>
      <c r="E1300" s="26" t="s">
        <v>46</v>
      </c>
      <c r="F1300" s="17" t="s">
        <v>17</v>
      </c>
    </row>
    <row r="1301" spans="1:6" ht="15.6" x14ac:dyDescent="0.3">
      <c r="A1301" s="9">
        <v>43899</v>
      </c>
      <c r="B1301" s="14">
        <v>13</v>
      </c>
      <c r="C1301" s="14">
        <v>13</v>
      </c>
      <c r="D1301" s="14">
        <v>13</v>
      </c>
      <c r="E1301" s="26" t="s">
        <v>46</v>
      </c>
      <c r="F1301" s="17" t="s">
        <v>17</v>
      </c>
    </row>
    <row r="1302" spans="1:6" ht="15.6" x14ac:dyDescent="0.3">
      <c r="A1302" s="9">
        <v>43915</v>
      </c>
      <c r="B1302" s="14">
        <v>12</v>
      </c>
      <c r="C1302" s="14">
        <v>12</v>
      </c>
      <c r="D1302" s="14">
        <v>12</v>
      </c>
      <c r="E1302" s="26" t="s">
        <v>46</v>
      </c>
      <c r="F1302" s="17" t="s">
        <v>17</v>
      </c>
    </row>
    <row r="1303" spans="1:6" ht="15.6" x14ac:dyDescent="0.3">
      <c r="A1303" s="9">
        <v>43915</v>
      </c>
      <c r="B1303" s="14">
        <v>13</v>
      </c>
      <c r="C1303" s="14">
        <v>13</v>
      </c>
      <c r="D1303" s="14">
        <v>13</v>
      </c>
      <c r="E1303" s="26" t="s">
        <v>46</v>
      </c>
      <c r="F1303" s="17" t="s">
        <v>17</v>
      </c>
    </row>
    <row r="1304" spans="1:6" ht="15.6" x14ac:dyDescent="0.3">
      <c r="A1304" s="9">
        <v>43915</v>
      </c>
      <c r="B1304" s="14">
        <v>13</v>
      </c>
      <c r="C1304" s="14">
        <v>13</v>
      </c>
      <c r="D1304" s="14">
        <v>13</v>
      </c>
      <c r="E1304" s="26" t="s">
        <v>46</v>
      </c>
      <c r="F1304" s="17" t="s">
        <v>17</v>
      </c>
    </row>
    <row r="1305" spans="1:6" ht="15.6" x14ac:dyDescent="0.3">
      <c r="A1305" s="9">
        <v>43915</v>
      </c>
      <c r="B1305" s="14">
        <v>12</v>
      </c>
      <c r="C1305" s="14">
        <v>12</v>
      </c>
      <c r="D1305" s="14">
        <v>12</v>
      </c>
      <c r="E1305" s="26" t="s">
        <v>46</v>
      </c>
      <c r="F1305" s="17" t="s">
        <v>17</v>
      </c>
    </row>
    <row r="1306" spans="1:6" ht="15.6" x14ac:dyDescent="0.3">
      <c r="A1306" s="9">
        <v>44083</v>
      </c>
      <c r="B1306" s="14">
        <v>13</v>
      </c>
      <c r="C1306" s="30">
        <v>13</v>
      </c>
      <c r="D1306" s="14">
        <v>13</v>
      </c>
      <c r="E1306" s="26" t="s">
        <v>46</v>
      </c>
      <c r="F1306" s="17" t="s">
        <v>17</v>
      </c>
    </row>
    <row r="1307" spans="1:6" ht="15.6" x14ac:dyDescent="0.3">
      <c r="A1307" s="9">
        <v>44083</v>
      </c>
      <c r="B1307" s="14">
        <v>10</v>
      </c>
      <c r="C1307" s="14">
        <v>10</v>
      </c>
      <c r="D1307" s="14">
        <v>10</v>
      </c>
      <c r="E1307" s="26" t="s">
        <v>46</v>
      </c>
      <c r="F1307" s="17" t="s">
        <v>17</v>
      </c>
    </row>
    <row r="1308" spans="1:6" ht="15.6" x14ac:dyDescent="0.3">
      <c r="A1308" s="9">
        <v>44083</v>
      </c>
      <c r="B1308" s="14">
        <v>10</v>
      </c>
      <c r="C1308" s="30">
        <v>10</v>
      </c>
      <c r="D1308" s="14">
        <v>10</v>
      </c>
      <c r="E1308" s="26" t="s">
        <v>46</v>
      </c>
      <c r="F1308" s="17" t="s">
        <v>17</v>
      </c>
    </row>
    <row r="1309" spans="1:6" ht="15.6" x14ac:dyDescent="0.3">
      <c r="A1309" s="9">
        <v>44083</v>
      </c>
      <c r="B1309" s="14">
        <v>10</v>
      </c>
      <c r="C1309" s="30">
        <v>10</v>
      </c>
      <c r="D1309" s="14">
        <v>10</v>
      </c>
      <c r="E1309" s="26" t="s">
        <v>46</v>
      </c>
      <c r="F1309" s="17" t="s">
        <v>17</v>
      </c>
    </row>
    <row r="1310" spans="1:6" ht="15.6" x14ac:dyDescent="0.3">
      <c r="A1310" s="9">
        <v>44118</v>
      </c>
      <c r="B1310" s="14">
        <v>12</v>
      </c>
      <c r="C1310" s="29">
        <v>11</v>
      </c>
      <c r="D1310" s="14">
        <v>12</v>
      </c>
      <c r="E1310" s="26" t="s">
        <v>46</v>
      </c>
      <c r="F1310" s="17" t="s">
        <v>17</v>
      </c>
    </row>
    <row r="1311" spans="1:6" ht="15.6" x14ac:dyDescent="0.3">
      <c r="A1311" s="9">
        <v>44118</v>
      </c>
      <c r="B1311" s="14">
        <v>12</v>
      </c>
      <c r="C1311" s="29">
        <v>12</v>
      </c>
      <c r="D1311" s="14">
        <v>12</v>
      </c>
      <c r="E1311" s="26" t="s">
        <v>46</v>
      </c>
      <c r="F1311" s="17" t="s">
        <v>17</v>
      </c>
    </row>
    <row r="1312" spans="1:6" ht="15.6" x14ac:dyDescent="0.3">
      <c r="A1312" s="9">
        <v>44118</v>
      </c>
      <c r="B1312" s="14">
        <v>12</v>
      </c>
      <c r="C1312" s="29">
        <v>12</v>
      </c>
      <c r="D1312" s="14">
        <v>12</v>
      </c>
      <c r="E1312" s="26" t="s">
        <v>46</v>
      </c>
      <c r="F1312" s="17" t="s">
        <v>17</v>
      </c>
    </row>
    <row r="1313" spans="1:6" ht="15.6" x14ac:dyDescent="0.3">
      <c r="A1313" s="9">
        <v>44118</v>
      </c>
      <c r="B1313" s="14">
        <v>9</v>
      </c>
      <c r="C1313" s="29">
        <v>9</v>
      </c>
      <c r="D1313" s="14">
        <v>9</v>
      </c>
      <c r="E1313" s="26" t="s">
        <v>46</v>
      </c>
      <c r="F1313" s="17" t="s">
        <v>17</v>
      </c>
    </row>
    <row r="1314" spans="1:6" ht="15.6" x14ac:dyDescent="0.3">
      <c r="A1314" s="9">
        <v>44151</v>
      </c>
      <c r="B1314" s="14">
        <v>11</v>
      </c>
      <c r="C1314" s="29">
        <v>9</v>
      </c>
      <c r="D1314" s="14">
        <v>11</v>
      </c>
      <c r="E1314" s="26" t="s">
        <v>46</v>
      </c>
      <c r="F1314" s="17" t="s">
        <v>17</v>
      </c>
    </row>
    <row r="1315" spans="1:6" ht="15.6" x14ac:dyDescent="0.3">
      <c r="A1315" s="9">
        <v>44151</v>
      </c>
      <c r="B1315" s="14">
        <v>12</v>
      </c>
      <c r="C1315" s="29">
        <v>12</v>
      </c>
      <c r="D1315" s="14">
        <v>12</v>
      </c>
      <c r="E1315" s="26" t="s">
        <v>46</v>
      </c>
      <c r="F1315" s="17" t="s">
        <v>17</v>
      </c>
    </row>
    <row r="1316" spans="1:6" ht="15.6" x14ac:dyDescent="0.3">
      <c r="A1316" s="9">
        <v>44151</v>
      </c>
      <c r="B1316" s="14">
        <v>12</v>
      </c>
      <c r="C1316" s="29">
        <v>11</v>
      </c>
      <c r="D1316" s="14">
        <v>12</v>
      </c>
      <c r="E1316" s="26" t="s">
        <v>46</v>
      </c>
      <c r="F1316" s="17" t="s">
        <v>17</v>
      </c>
    </row>
    <row r="1317" spans="1:6" ht="15.6" x14ac:dyDescent="0.3">
      <c r="A1317" s="9">
        <v>44151</v>
      </c>
      <c r="B1317" s="14">
        <v>12</v>
      </c>
      <c r="C1317" s="29">
        <v>12</v>
      </c>
      <c r="D1317" s="14">
        <v>12</v>
      </c>
      <c r="E1317" s="26" t="s">
        <v>46</v>
      </c>
      <c r="F1317" s="17" t="s">
        <v>17</v>
      </c>
    </row>
    <row r="1318" spans="1:6" ht="15.6" x14ac:dyDescent="0.3">
      <c r="A1318" s="9">
        <v>44202</v>
      </c>
      <c r="B1318" s="14">
        <v>12</v>
      </c>
      <c r="C1318" s="29">
        <v>12</v>
      </c>
      <c r="D1318" s="14">
        <v>12</v>
      </c>
      <c r="E1318" s="26" t="s">
        <v>46</v>
      </c>
      <c r="F1318" s="17" t="s">
        <v>17</v>
      </c>
    </row>
    <row r="1319" spans="1:6" ht="15.6" x14ac:dyDescent="0.3">
      <c r="A1319" s="9">
        <v>44202</v>
      </c>
      <c r="B1319" s="14">
        <v>11</v>
      </c>
      <c r="C1319" s="29">
        <v>11</v>
      </c>
      <c r="D1319" s="14">
        <v>11</v>
      </c>
      <c r="E1319" s="26" t="s">
        <v>46</v>
      </c>
      <c r="F1319" s="17" t="s">
        <v>17</v>
      </c>
    </row>
    <row r="1320" spans="1:6" ht="15.6" x14ac:dyDescent="0.3">
      <c r="A1320" s="9">
        <v>44202</v>
      </c>
      <c r="B1320" s="14">
        <v>14</v>
      </c>
      <c r="C1320" s="29">
        <v>14</v>
      </c>
      <c r="D1320" s="14">
        <v>14</v>
      </c>
      <c r="E1320" s="26" t="s">
        <v>46</v>
      </c>
      <c r="F1320" s="17" t="s">
        <v>17</v>
      </c>
    </row>
    <row r="1321" spans="1:6" ht="15.6" x14ac:dyDescent="0.3">
      <c r="A1321" s="9">
        <v>44202</v>
      </c>
      <c r="B1321" s="14">
        <v>14</v>
      </c>
      <c r="C1321" s="29">
        <v>14</v>
      </c>
      <c r="D1321" s="14">
        <v>14</v>
      </c>
      <c r="E1321" s="26" t="s">
        <v>46</v>
      </c>
      <c r="F1321" s="17" t="s">
        <v>17</v>
      </c>
    </row>
    <row r="1322" spans="1:6" ht="15.6" x14ac:dyDescent="0.3">
      <c r="A1322" s="9">
        <v>44204</v>
      </c>
      <c r="B1322" s="14">
        <v>11</v>
      </c>
      <c r="C1322" s="29">
        <v>10</v>
      </c>
      <c r="D1322" s="14">
        <v>11</v>
      </c>
      <c r="E1322" s="26" t="s">
        <v>46</v>
      </c>
      <c r="F1322" s="17" t="s">
        <v>17</v>
      </c>
    </row>
    <row r="1323" spans="1:6" ht="15.6" x14ac:dyDescent="0.3">
      <c r="A1323" s="9">
        <v>44204</v>
      </c>
      <c r="B1323" s="14">
        <v>11</v>
      </c>
      <c r="C1323" s="29">
        <v>11</v>
      </c>
      <c r="D1323" s="14">
        <v>11</v>
      </c>
      <c r="E1323" s="26" t="s">
        <v>46</v>
      </c>
      <c r="F1323" s="17" t="s">
        <v>17</v>
      </c>
    </row>
    <row r="1324" spans="1:6" ht="15.6" x14ac:dyDescent="0.3">
      <c r="A1324" s="9">
        <v>44204</v>
      </c>
      <c r="B1324" s="14">
        <v>12</v>
      </c>
      <c r="C1324" s="29">
        <v>12</v>
      </c>
      <c r="D1324" s="14">
        <v>12</v>
      </c>
      <c r="E1324" s="26" t="s">
        <v>46</v>
      </c>
      <c r="F1324" s="17" t="s">
        <v>17</v>
      </c>
    </row>
    <row r="1325" spans="1:6" ht="15.6" x14ac:dyDescent="0.3">
      <c r="A1325" s="9">
        <v>44204</v>
      </c>
      <c r="B1325" s="14">
        <v>11</v>
      </c>
      <c r="C1325" s="29">
        <v>11</v>
      </c>
      <c r="D1325" s="14">
        <v>11</v>
      </c>
      <c r="E1325" s="26" t="s">
        <v>46</v>
      </c>
      <c r="F1325" s="17" t="s">
        <v>17</v>
      </c>
    </row>
    <row r="1326" spans="1:6" ht="15.6" x14ac:dyDescent="0.3">
      <c r="A1326" s="75">
        <v>44286</v>
      </c>
      <c r="B1326" s="14">
        <v>11</v>
      </c>
      <c r="C1326" s="30">
        <v>11</v>
      </c>
      <c r="D1326" s="14">
        <v>11</v>
      </c>
      <c r="E1326" s="26" t="s">
        <v>46</v>
      </c>
      <c r="F1326" s="17" t="s">
        <v>17</v>
      </c>
    </row>
    <row r="1327" spans="1:6" ht="15.6" x14ac:dyDescent="0.3">
      <c r="A1327" s="75">
        <v>44286</v>
      </c>
      <c r="B1327" s="14">
        <v>12</v>
      </c>
      <c r="C1327" s="30">
        <v>12</v>
      </c>
      <c r="D1327" s="14">
        <v>12</v>
      </c>
      <c r="E1327" s="26" t="s">
        <v>46</v>
      </c>
      <c r="F1327" s="17" t="s">
        <v>17</v>
      </c>
    </row>
    <row r="1328" spans="1:6" ht="15.6" x14ac:dyDescent="0.3">
      <c r="A1328" s="75">
        <v>44286</v>
      </c>
      <c r="B1328" s="14">
        <v>12</v>
      </c>
      <c r="C1328" s="30">
        <v>12</v>
      </c>
      <c r="D1328" s="14">
        <v>12</v>
      </c>
      <c r="E1328" s="26" t="s">
        <v>46</v>
      </c>
      <c r="F1328" s="17" t="s">
        <v>17</v>
      </c>
    </row>
    <row r="1329" spans="1:6" ht="15.6" x14ac:dyDescent="0.3">
      <c r="A1329" s="75">
        <v>44286</v>
      </c>
      <c r="B1329" s="14">
        <v>14</v>
      </c>
      <c r="C1329" s="30">
        <v>14</v>
      </c>
      <c r="D1329" s="14">
        <v>14</v>
      </c>
      <c r="E1329" s="26" t="s">
        <v>46</v>
      </c>
      <c r="F1329" s="17" t="s">
        <v>17</v>
      </c>
    </row>
    <row r="1330" spans="1:6" ht="15.6" x14ac:dyDescent="0.3">
      <c r="A1330" s="75">
        <v>44316</v>
      </c>
      <c r="B1330" s="14">
        <v>10</v>
      </c>
      <c r="C1330" s="29">
        <v>10</v>
      </c>
      <c r="D1330" s="14">
        <v>10</v>
      </c>
      <c r="E1330" s="26" t="s">
        <v>46</v>
      </c>
      <c r="F1330" s="17" t="s">
        <v>17</v>
      </c>
    </row>
    <row r="1331" spans="1:6" ht="15.6" x14ac:dyDescent="0.3">
      <c r="A1331" s="75">
        <v>44316</v>
      </c>
      <c r="B1331" s="14">
        <v>13</v>
      </c>
      <c r="C1331" s="30">
        <v>13</v>
      </c>
      <c r="D1331" s="14">
        <v>13</v>
      </c>
      <c r="E1331" s="26" t="s">
        <v>46</v>
      </c>
      <c r="F1331" s="17" t="s">
        <v>17</v>
      </c>
    </row>
    <row r="1332" spans="1:6" ht="15.6" x14ac:dyDescent="0.3">
      <c r="A1332" s="75">
        <v>44316</v>
      </c>
      <c r="B1332" s="14">
        <v>11</v>
      </c>
      <c r="C1332" s="30">
        <v>11</v>
      </c>
      <c r="D1332" s="14">
        <v>11</v>
      </c>
      <c r="E1332" s="26" t="s">
        <v>46</v>
      </c>
      <c r="F1332" s="17" t="s">
        <v>17</v>
      </c>
    </row>
    <row r="1333" spans="1:6" ht="15.6" x14ac:dyDescent="0.3">
      <c r="A1333" s="75">
        <v>44316</v>
      </c>
      <c r="B1333" s="16">
        <v>10</v>
      </c>
      <c r="C1333" s="89">
        <v>10</v>
      </c>
      <c r="D1333" s="16">
        <v>10</v>
      </c>
      <c r="E1333" s="26" t="s">
        <v>46</v>
      </c>
      <c r="F1333" s="17" t="s">
        <v>17</v>
      </c>
    </row>
    <row r="1334" spans="1:6" ht="15.6" x14ac:dyDescent="0.3">
      <c r="A1334" s="75">
        <v>44358</v>
      </c>
      <c r="B1334" s="14">
        <v>11</v>
      </c>
      <c r="C1334" s="30">
        <v>11</v>
      </c>
      <c r="D1334" s="14">
        <v>11</v>
      </c>
      <c r="E1334" s="26" t="s">
        <v>46</v>
      </c>
      <c r="F1334" s="17" t="s">
        <v>17</v>
      </c>
    </row>
    <row r="1335" spans="1:6" ht="15.6" x14ac:dyDescent="0.3">
      <c r="A1335" s="75">
        <v>44358</v>
      </c>
      <c r="B1335" s="14">
        <v>10</v>
      </c>
      <c r="C1335" s="30">
        <v>10</v>
      </c>
      <c r="D1335" s="14">
        <v>10</v>
      </c>
      <c r="E1335" s="26" t="s">
        <v>46</v>
      </c>
      <c r="F1335" s="17" t="s">
        <v>17</v>
      </c>
    </row>
    <row r="1336" spans="1:6" ht="15.6" x14ac:dyDescent="0.3">
      <c r="A1336" s="75">
        <v>44358</v>
      </c>
      <c r="B1336" s="14">
        <v>10</v>
      </c>
      <c r="C1336" s="30">
        <v>10</v>
      </c>
      <c r="D1336" s="14">
        <v>10</v>
      </c>
      <c r="E1336" s="26" t="s">
        <v>46</v>
      </c>
      <c r="F1336" s="17" t="s">
        <v>17</v>
      </c>
    </row>
    <row r="1337" spans="1:6" ht="15.6" x14ac:dyDescent="0.3">
      <c r="A1337" s="75">
        <v>44358</v>
      </c>
      <c r="B1337" s="14">
        <v>10</v>
      </c>
      <c r="C1337" s="30">
        <v>10</v>
      </c>
      <c r="D1337" s="14">
        <v>10</v>
      </c>
      <c r="E1337" s="26" t="s">
        <v>46</v>
      </c>
      <c r="F1337" s="17" t="s">
        <v>17</v>
      </c>
    </row>
    <row r="1338" spans="1:6" ht="15.6" x14ac:dyDescent="0.3">
      <c r="A1338" s="9">
        <v>44391</v>
      </c>
      <c r="B1338" s="14">
        <v>10</v>
      </c>
      <c r="C1338" s="29">
        <v>10</v>
      </c>
      <c r="D1338" s="14">
        <v>10</v>
      </c>
      <c r="E1338" s="26" t="s">
        <v>46</v>
      </c>
      <c r="F1338" s="17" t="s">
        <v>17</v>
      </c>
    </row>
    <row r="1339" spans="1:6" ht="15.6" x14ac:dyDescent="0.3">
      <c r="A1339" s="9">
        <v>44391</v>
      </c>
      <c r="B1339" s="14">
        <v>11</v>
      </c>
      <c r="C1339" s="29">
        <v>11</v>
      </c>
      <c r="D1339" s="14">
        <v>11</v>
      </c>
      <c r="E1339" s="26" t="s">
        <v>46</v>
      </c>
      <c r="F1339" s="17" t="s">
        <v>17</v>
      </c>
    </row>
    <row r="1340" spans="1:6" ht="15.6" x14ac:dyDescent="0.3">
      <c r="A1340" s="9">
        <v>44391</v>
      </c>
      <c r="B1340" s="14">
        <v>10</v>
      </c>
      <c r="C1340" s="29">
        <v>10</v>
      </c>
      <c r="D1340" s="14">
        <v>10</v>
      </c>
      <c r="E1340" s="26" t="s">
        <v>46</v>
      </c>
      <c r="F1340" s="17" t="s">
        <v>17</v>
      </c>
    </row>
    <row r="1341" spans="1:6" ht="15.6" x14ac:dyDescent="0.3">
      <c r="A1341" s="9">
        <v>44391</v>
      </c>
      <c r="B1341" s="14">
        <v>11</v>
      </c>
      <c r="C1341" s="29">
        <v>11</v>
      </c>
      <c r="D1341" s="14">
        <v>11</v>
      </c>
      <c r="E1341" s="26" t="s">
        <v>46</v>
      </c>
      <c r="F1341" s="17" t="s">
        <v>17</v>
      </c>
    </row>
    <row r="1342" spans="1:6" ht="15.6" x14ac:dyDescent="0.3">
      <c r="A1342" s="9">
        <v>44401</v>
      </c>
      <c r="B1342" s="14">
        <v>12</v>
      </c>
      <c r="C1342" s="29">
        <v>12</v>
      </c>
      <c r="D1342" s="14">
        <v>12</v>
      </c>
      <c r="E1342" s="26" t="s">
        <v>46</v>
      </c>
      <c r="F1342" s="17" t="s">
        <v>17</v>
      </c>
    </row>
    <row r="1343" spans="1:6" ht="15.6" x14ac:dyDescent="0.3">
      <c r="A1343" s="9">
        <v>44401</v>
      </c>
      <c r="B1343" s="14">
        <v>11</v>
      </c>
      <c r="C1343" s="29">
        <v>11</v>
      </c>
      <c r="D1343" s="14">
        <v>11</v>
      </c>
      <c r="E1343" s="26" t="s">
        <v>46</v>
      </c>
      <c r="F1343" s="17" t="s">
        <v>17</v>
      </c>
    </row>
    <row r="1344" spans="1:6" ht="15.6" x14ac:dyDescent="0.3">
      <c r="A1344" s="9">
        <v>44401</v>
      </c>
      <c r="B1344" s="14">
        <v>12</v>
      </c>
      <c r="C1344" s="29">
        <v>12</v>
      </c>
      <c r="D1344" s="14">
        <v>12</v>
      </c>
      <c r="E1344" s="26" t="s">
        <v>46</v>
      </c>
      <c r="F1344" s="17" t="s">
        <v>17</v>
      </c>
    </row>
    <row r="1345" spans="1:6" ht="15.6" x14ac:dyDescent="0.3">
      <c r="A1345" s="9">
        <v>44401</v>
      </c>
      <c r="B1345" s="14">
        <v>11</v>
      </c>
      <c r="C1345" s="29">
        <v>11</v>
      </c>
      <c r="D1345" s="14">
        <v>11</v>
      </c>
      <c r="E1345" s="26" t="s">
        <v>46</v>
      </c>
      <c r="F1345" s="17" t="s">
        <v>17</v>
      </c>
    </row>
    <row r="1346" spans="1:6" ht="15.6" x14ac:dyDescent="0.3">
      <c r="A1346" s="9">
        <v>44552</v>
      </c>
      <c r="B1346" s="14">
        <v>12</v>
      </c>
      <c r="C1346" s="29">
        <v>12</v>
      </c>
      <c r="D1346" s="14">
        <v>12</v>
      </c>
      <c r="E1346" s="26" t="s">
        <v>46</v>
      </c>
      <c r="F1346" s="17" t="s">
        <v>17</v>
      </c>
    </row>
    <row r="1347" spans="1:6" ht="15.6" x14ac:dyDescent="0.3">
      <c r="A1347" s="9">
        <v>44552</v>
      </c>
      <c r="B1347" s="14">
        <v>12</v>
      </c>
      <c r="C1347" s="29">
        <v>12</v>
      </c>
      <c r="D1347" s="14">
        <v>12</v>
      </c>
      <c r="E1347" s="26" t="s">
        <v>46</v>
      </c>
      <c r="F1347" s="17" t="s">
        <v>17</v>
      </c>
    </row>
    <row r="1348" spans="1:6" ht="15.6" x14ac:dyDescent="0.3">
      <c r="A1348" s="9">
        <v>44552</v>
      </c>
      <c r="B1348" s="14">
        <v>12</v>
      </c>
      <c r="C1348" s="29">
        <v>12</v>
      </c>
      <c r="D1348" s="14">
        <v>12</v>
      </c>
      <c r="E1348" s="26" t="s">
        <v>46</v>
      </c>
      <c r="F1348" s="17" t="s">
        <v>17</v>
      </c>
    </row>
    <row r="1349" spans="1:6" ht="15.6" x14ac:dyDescent="0.3">
      <c r="A1349" s="9">
        <v>44552</v>
      </c>
      <c r="B1349" s="14">
        <v>10</v>
      </c>
      <c r="C1349" s="29">
        <v>10</v>
      </c>
      <c r="D1349" s="14">
        <v>10</v>
      </c>
      <c r="E1349" s="26" t="s">
        <v>46</v>
      </c>
      <c r="F1349" s="17" t="s">
        <v>17</v>
      </c>
    </row>
    <row r="1350" spans="1:6" ht="15.6" x14ac:dyDescent="0.3">
      <c r="A1350" s="75">
        <v>44615</v>
      </c>
      <c r="B1350" s="14">
        <v>12</v>
      </c>
      <c r="C1350" s="29">
        <v>12</v>
      </c>
      <c r="D1350" s="14">
        <v>12</v>
      </c>
      <c r="E1350" s="26" t="s">
        <v>46</v>
      </c>
      <c r="F1350" s="17" t="s">
        <v>17</v>
      </c>
    </row>
    <row r="1351" spans="1:6" ht="15.6" x14ac:dyDescent="0.3">
      <c r="A1351" s="75">
        <v>44615</v>
      </c>
      <c r="B1351" s="14">
        <v>12</v>
      </c>
      <c r="C1351" s="29">
        <v>12</v>
      </c>
      <c r="D1351" s="14">
        <v>12</v>
      </c>
      <c r="E1351" s="26" t="s">
        <v>46</v>
      </c>
      <c r="F1351" s="17" t="s">
        <v>17</v>
      </c>
    </row>
    <row r="1352" spans="1:6" ht="15.6" x14ac:dyDescent="0.3">
      <c r="A1352" s="75">
        <v>44615</v>
      </c>
      <c r="B1352" s="14">
        <v>14</v>
      </c>
      <c r="C1352" s="29">
        <v>13</v>
      </c>
      <c r="D1352" s="14">
        <v>14</v>
      </c>
      <c r="E1352" s="26" t="s">
        <v>46</v>
      </c>
      <c r="F1352" s="17" t="s">
        <v>17</v>
      </c>
    </row>
    <row r="1353" spans="1:6" ht="15.6" x14ac:dyDescent="0.3">
      <c r="A1353" s="75">
        <v>44615</v>
      </c>
      <c r="B1353" s="14">
        <v>13</v>
      </c>
      <c r="C1353" s="29">
        <v>13</v>
      </c>
      <c r="D1353" s="14">
        <v>13</v>
      </c>
      <c r="E1353" s="26" t="s">
        <v>46</v>
      </c>
      <c r="F1353" s="17" t="s">
        <v>17</v>
      </c>
    </row>
    <row r="1354" spans="1:6" ht="15.6" x14ac:dyDescent="0.3">
      <c r="A1354" s="75">
        <v>44699</v>
      </c>
      <c r="B1354" s="14">
        <v>10</v>
      </c>
      <c r="C1354" s="29">
        <v>10</v>
      </c>
      <c r="D1354" s="29">
        <v>10</v>
      </c>
      <c r="E1354" s="26" t="s">
        <v>46</v>
      </c>
      <c r="F1354" s="17" t="s">
        <v>17</v>
      </c>
    </row>
    <row r="1355" spans="1:6" ht="15.6" x14ac:dyDescent="0.3">
      <c r="A1355" s="75">
        <v>44699</v>
      </c>
      <c r="B1355" s="14">
        <v>12</v>
      </c>
      <c r="C1355" s="29">
        <v>12</v>
      </c>
      <c r="D1355" s="29">
        <v>12</v>
      </c>
      <c r="E1355" s="26" t="s">
        <v>46</v>
      </c>
      <c r="F1355" s="17" t="s">
        <v>17</v>
      </c>
    </row>
    <row r="1356" spans="1:6" ht="15.6" x14ac:dyDescent="0.3">
      <c r="A1356" s="75">
        <v>44699</v>
      </c>
      <c r="B1356" s="14">
        <v>10</v>
      </c>
      <c r="C1356" s="29">
        <v>10</v>
      </c>
      <c r="D1356" s="29">
        <v>10</v>
      </c>
      <c r="E1356" s="26" t="s">
        <v>46</v>
      </c>
      <c r="F1356" s="17" t="s">
        <v>17</v>
      </c>
    </row>
    <row r="1357" spans="1:6" ht="15.6" x14ac:dyDescent="0.3">
      <c r="A1357" s="75">
        <v>44699</v>
      </c>
      <c r="B1357" s="14">
        <v>9</v>
      </c>
      <c r="C1357" s="29">
        <v>9</v>
      </c>
      <c r="D1357" s="29">
        <v>9</v>
      </c>
      <c r="E1357" s="26" t="s">
        <v>46</v>
      </c>
      <c r="F1357" s="17" t="s">
        <v>17</v>
      </c>
    </row>
    <row r="1358" spans="1:6" ht="15.6" x14ac:dyDescent="0.3">
      <c r="A1358" s="9">
        <v>44777</v>
      </c>
      <c r="B1358" s="14">
        <v>12</v>
      </c>
      <c r="C1358" s="29">
        <v>12</v>
      </c>
      <c r="D1358" s="29">
        <v>12</v>
      </c>
      <c r="E1358" s="26" t="s">
        <v>46</v>
      </c>
      <c r="F1358" s="17" t="s">
        <v>17</v>
      </c>
    </row>
    <row r="1359" spans="1:6" ht="15.6" x14ac:dyDescent="0.3">
      <c r="A1359" s="9">
        <v>44777</v>
      </c>
      <c r="B1359" s="14">
        <v>11</v>
      </c>
      <c r="C1359" s="29">
        <v>10</v>
      </c>
      <c r="D1359" s="29">
        <v>10</v>
      </c>
      <c r="E1359" s="26" t="s">
        <v>46</v>
      </c>
      <c r="F1359" s="17" t="s">
        <v>17</v>
      </c>
    </row>
    <row r="1360" spans="1:6" ht="15.6" x14ac:dyDescent="0.3">
      <c r="A1360" s="9">
        <v>44777</v>
      </c>
      <c r="B1360" s="14"/>
      <c r="C1360" s="29"/>
      <c r="D1360" s="29">
        <v>1</v>
      </c>
      <c r="E1360" s="26" t="s">
        <v>46</v>
      </c>
      <c r="F1360" s="17" t="s">
        <v>17</v>
      </c>
    </row>
    <row r="1361" spans="1:6" ht="15.6" x14ac:dyDescent="0.3">
      <c r="A1361" s="9">
        <v>44777</v>
      </c>
      <c r="B1361" s="14">
        <v>10</v>
      </c>
      <c r="C1361" s="29">
        <v>10</v>
      </c>
      <c r="D1361" s="29">
        <v>10</v>
      </c>
      <c r="E1361" s="26" t="s">
        <v>46</v>
      </c>
      <c r="F1361" s="17" t="s">
        <v>17</v>
      </c>
    </row>
    <row r="1362" spans="1:6" ht="15.6" x14ac:dyDescent="0.3">
      <c r="A1362" s="9">
        <v>44777</v>
      </c>
      <c r="B1362" s="14">
        <v>11</v>
      </c>
      <c r="C1362" s="29">
        <v>11</v>
      </c>
      <c r="D1362" s="29">
        <v>11</v>
      </c>
      <c r="E1362" s="26" t="s">
        <v>46</v>
      </c>
      <c r="F1362" s="17" t="s">
        <v>17</v>
      </c>
    </row>
    <row r="1363" spans="1:6" ht="15.6" x14ac:dyDescent="0.3">
      <c r="A1363" s="75">
        <v>45098</v>
      </c>
      <c r="B1363" s="14">
        <v>11</v>
      </c>
      <c r="C1363" s="29"/>
      <c r="D1363" s="29"/>
      <c r="E1363" s="26" t="s">
        <v>46</v>
      </c>
      <c r="F1363" s="17" t="s">
        <v>17</v>
      </c>
    </row>
    <row r="1364" spans="1:6" ht="15.6" x14ac:dyDescent="0.3">
      <c r="A1364" s="75">
        <v>45098</v>
      </c>
      <c r="B1364" s="14">
        <v>12</v>
      </c>
      <c r="C1364" s="29"/>
      <c r="D1364" s="29"/>
      <c r="E1364" s="26" t="s">
        <v>46</v>
      </c>
      <c r="F1364" s="17" t="s">
        <v>17</v>
      </c>
    </row>
    <row r="1365" spans="1:6" ht="15.6" x14ac:dyDescent="0.3">
      <c r="A1365" s="75">
        <v>45098</v>
      </c>
      <c r="B1365" s="14">
        <v>12</v>
      </c>
      <c r="C1365" s="29"/>
      <c r="D1365" s="29"/>
      <c r="E1365" s="26" t="s">
        <v>46</v>
      </c>
      <c r="F1365" s="17" t="s">
        <v>17</v>
      </c>
    </row>
    <row r="1366" spans="1:6" ht="15.6" x14ac:dyDescent="0.3">
      <c r="A1366" s="75">
        <v>45098</v>
      </c>
      <c r="B1366" s="14">
        <v>13</v>
      </c>
      <c r="C1366" s="29"/>
      <c r="D1366" s="29"/>
      <c r="E1366" s="26" t="s">
        <v>46</v>
      </c>
      <c r="F1366" s="17" t="s">
        <v>17</v>
      </c>
    </row>
    <row r="1367" spans="1:6" ht="15.6" x14ac:dyDescent="0.3">
      <c r="A1367" s="31">
        <v>43488</v>
      </c>
      <c r="B1367" s="24">
        <v>5</v>
      </c>
      <c r="C1367" s="24">
        <v>5</v>
      </c>
      <c r="D1367" s="24">
        <v>5</v>
      </c>
      <c r="E1367" s="26" t="s">
        <v>47</v>
      </c>
      <c r="F1367" s="17" t="s">
        <v>17</v>
      </c>
    </row>
    <row r="1368" spans="1:6" ht="15.6" x14ac:dyDescent="0.3">
      <c r="A1368" s="31">
        <v>43488</v>
      </c>
      <c r="B1368" s="24">
        <v>5</v>
      </c>
      <c r="C1368" s="24">
        <v>5</v>
      </c>
      <c r="D1368" s="24">
        <v>5</v>
      </c>
      <c r="E1368" s="26" t="s">
        <v>47</v>
      </c>
      <c r="F1368" s="17" t="s">
        <v>17</v>
      </c>
    </row>
    <row r="1369" spans="1:6" ht="15.6" x14ac:dyDescent="0.3">
      <c r="A1369" s="31">
        <v>43488</v>
      </c>
      <c r="B1369" s="24">
        <v>5</v>
      </c>
      <c r="C1369" s="24">
        <v>5</v>
      </c>
      <c r="D1369" s="24">
        <v>5</v>
      </c>
      <c r="E1369" s="26" t="s">
        <v>47</v>
      </c>
      <c r="F1369" s="17" t="s">
        <v>17</v>
      </c>
    </row>
    <row r="1370" spans="1:6" ht="15.6" x14ac:dyDescent="0.3">
      <c r="A1370" s="31">
        <v>43488</v>
      </c>
      <c r="B1370" s="53">
        <v>15</v>
      </c>
      <c r="C1370" s="53">
        <v>15</v>
      </c>
      <c r="D1370" s="53">
        <v>15</v>
      </c>
      <c r="E1370" s="26" t="s">
        <v>47</v>
      </c>
      <c r="F1370" s="17" t="s">
        <v>17</v>
      </c>
    </row>
    <row r="1371" spans="1:6" ht="15.6" x14ac:dyDescent="0.3">
      <c r="A1371" s="31">
        <v>43488</v>
      </c>
      <c r="B1371" s="24">
        <v>23</v>
      </c>
      <c r="C1371" s="24">
        <v>23</v>
      </c>
      <c r="D1371" s="24">
        <v>23</v>
      </c>
      <c r="E1371" s="26" t="s">
        <v>47</v>
      </c>
      <c r="F1371" s="17" t="s">
        <v>17</v>
      </c>
    </row>
    <row r="1372" spans="1:6" ht="15.6" x14ac:dyDescent="0.3">
      <c r="A1372" s="31">
        <v>43644</v>
      </c>
      <c r="B1372" s="24">
        <v>10</v>
      </c>
      <c r="C1372" s="24">
        <v>10</v>
      </c>
      <c r="D1372" s="24">
        <v>10</v>
      </c>
      <c r="E1372" s="26" t="s">
        <v>47</v>
      </c>
      <c r="F1372" s="17" t="s">
        <v>17</v>
      </c>
    </row>
    <row r="1373" spans="1:6" ht="15.6" x14ac:dyDescent="0.3">
      <c r="A1373" s="31">
        <v>43644</v>
      </c>
      <c r="B1373" s="24">
        <v>11</v>
      </c>
      <c r="C1373" s="24">
        <v>11</v>
      </c>
      <c r="D1373" s="24">
        <v>11</v>
      </c>
      <c r="E1373" s="26" t="s">
        <v>47</v>
      </c>
      <c r="F1373" s="17" t="s">
        <v>17</v>
      </c>
    </row>
    <row r="1374" spans="1:6" ht="15.6" x14ac:dyDescent="0.3">
      <c r="A1374" s="31">
        <v>43644</v>
      </c>
      <c r="B1374" s="24">
        <v>11</v>
      </c>
      <c r="C1374" s="24">
        <v>11</v>
      </c>
      <c r="D1374" s="24">
        <v>11</v>
      </c>
      <c r="E1374" s="26" t="s">
        <v>47</v>
      </c>
      <c r="F1374" s="17" t="s">
        <v>17</v>
      </c>
    </row>
    <row r="1375" spans="1:6" ht="15.6" x14ac:dyDescent="0.3">
      <c r="A1375" s="31">
        <v>43644</v>
      </c>
      <c r="B1375" s="24">
        <v>12</v>
      </c>
      <c r="C1375" s="24">
        <v>12</v>
      </c>
      <c r="D1375" s="24">
        <v>12</v>
      </c>
      <c r="E1375" s="26" t="s">
        <v>47</v>
      </c>
      <c r="F1375" s="17" t="s">
        <v>17</v>
      </c>
    </row>
    <row r="1376" spans="1:6" ht="15.6" x14ac:dyDescent="0.3">
      <c r="A1376" s="31">
        <v>43644</v>
      </c>
      <c r="B1376" s="24">
        <v>7</v>
      </c>
      <c r="C1376" s="24">
        <v>7</v>
      </c>
      <c r="D1376" s="24">
        <v>7</v>
      </c>
      <c r="E1376" s="26" t="s">
        <v>47</v>
      </c>
      <c r="F1376" s="17" t="s">
        <v>17</v>
      </c>
    </row>
    <row r="1377" spans="1:6" ht="15.6" x14ac:dyDescent="0.3">
      <c r="A1377" s="31">
        <v>43644</v>
      </c>
      <c r="B1377" s="24">
        <v>5</v>
      </c>
      <c r="C1377" s="24">
        <v>5</v>
      </c>
      <c r="D1377" s="24">
        <v>5</v>
      </c>
      <c r="E1377" s="26" t="s">
        <v>47</v>
      </c>
      <c r="F1377" s="17" t="s">
        <v>17</v>
      </c>
    </row>
    <row r="1378" spans="1:6" ht="15.6" x14ac:dyDescent="0.3">
      <c r="A1378" s="31">
        <v>43431</v>
      </c>
      <c r="B1378" s="24">
        <v>20</v>
      </c>
      <c r="C1378" s="24">
        <v>20</v>
      </c>
      <c r="D1378" s="24">
        <v>20</v>
      </c>
      <c r="E1378" s="26" t="s">
        <v>48</v>
      </c>
      <c r="F1378" s="17" t="s">
        <v>17</v>
      </c>
    </row>
    <row r="1379" spans="1:6" ht="15.6" x14ac:dyDescent="0.3">
      <c r="A1379" s="31">
        <v>43433</v>
      </c>
      <c r="B1379" s="24">
        <v>20</v>
      </c>
      <c r="C1379" s="24">
        <v>20</v>
      </c>
      <c r="D1379" s="24">
        <v>20</v>
      </c>
      <c r="E1379" s="26" t="s">
        <v>48</v>
      </c>
      <c r="F1379" s="17" t="s">
        <v>17</v>
      </c>
    </row>
    <row r="1380" spans="1:6" ht="15.6" x14ac:dyDescent="0.3">
      <c r="A1380" s="31">
        <v>43447</v>
      </c>
      <c r="B1380" s="24">
        <v>20</v>
      </c>
      <c r="C1380" s="24">
        <v>20</v>
      </c>
      <c r="D1380" s="24">
        <v>20</v>
      </c>
      <c r="E1380" s="26" t="s">
        <v>48</v>
      </c>
      <c r="F1380" s="17" t="s">
        <v>17</v>
      </c>
    </row>
    <row r="1381" spans="1:6" ht="15.6" x14ac:dyDescent="0.3">
      <c r="A1381" s="31">
        <v>43454</v>
      </c>
      <c r="B1381" s="24">
        <v>20</v>
      </c>
      <c r="C1381" s="24">
        <v>20</v>
      </c>
      <c r="D1381" s="24">
        <v>20</v>
      </c>
      <c r="E1381" s="26" t="s">
        <v>48</v>
      </c>
      <c r="F1381" s="17" t="s">
        <v>17</v>
      </c>
    </row>
    <row r="1382" spans="1:6" ht="15.6" x14ac:dyDescent="0.3">
      <c r="A1382" s="31">
        <v>43468</v>
      </c>
      <c r="B1382" s="24">
        <v>20</v>
      </c>
      <c r="C1382" s="24">
        <v>20</v>
      </c>
      <c r="D1382" s="24">
        <v>20</v>
      </c>
      <c r="E1382" s="26" t="s">
        <v>48</v>
      </c>
      <c r="F1382" s="17" t="s">
        <v>17</v>
      </c>
    </row>
    <row r="1383" spans="1:6" ht="15.6" x14ac:dyDescent="0.3">
      <c r="A1383" s="31">
        <v>43475</v>
      </c>
      <c r="B1383" s="24">
        <v>20</v>
      </c>
      <c r="C1383" s="24">
        <v>20</v>
      </c>
      <c r="D1383" s="24">
        <v>20</v>
      </c>
      <c r="E1383" s="26" t="s">
        <v>48</v>
      </c>
      <c r="F1383" s="17" t="s">
        <v>17</v>
      </c>
    </row>
    <row r="1384" spans="1:6" ht="15.6" x14ac:dyDescent="0.3">
      <c r="A1384" s="90">
        <v>43483</v>
      </c>
      <c r="B1384" s="24">
        <v>20</v>
      </c>
      <c r="C1384" s="24">
        <v>20</v>
      </c>
      <c r="D1384" s="24">
        <v>20</v>
      </c>
      <c r="E1384" s="26" t="s">
        <v>48</v>
      </c>
      <c r="F1384" s="17" t="s">
        <v>17</v>
      </c>
    </row>
    <row r="1385" spans="1:6" ht="15.6" x14ac:dyDescent="0.3">
      <c r="A1385" s="90">
        <v>43489</v>
      </c>
      <c r="B1385" s="24">
        <v>20</v>
      </c>
      <c r="C1385" s="24">
        <v>20</v>
      </c>
      <c r="D1385" s="24">
        <v>20</v>
      </c>
      <c r="E1385" s="26" t="s">
        <v>48</v>
      </c>
      <c r="F1385" s="17" t="s">
        <v>17</v>
      </c>
    </row>
    <row r="1386" spans="1:6" ht="15.6" x14ac:dyDescent="0.3">
      <c r="A1386" s="31">
        <v>43521</v>
      </c>
      <c r="B1386" s="24">
        <v>18</v>
      </c>
      <c r="C1386" s="24">
        <v>18</v>
      </c>
      <c r="D1386" s="24">
        <v>18</v>
      </c>
      <c r="E1386" s="26" t="s">
        <v>48</v>
      </c>
      <c r="F1386" s="17" t="s">
        <v>17</v>
      </c>
    </row>
    <row r="1387" spans="1:6" ht="15.6" x14ac:dyDescent="0.3">
      <c r="A1387" s="31">
        <v>43528</v>
      </c>
      <c r="B1387" s="24">
        <v>20</v>
      </c>
      <c r="C1387" s="24">
        <v>20</v>
      </c>
      <c r="D1387" s="24">
        <v>20</v>
      </c>
      <c r="E1387" s="26" t="s">
        <v>48</v>
      </c>
      <c r="F1387" s="17" t="s">
        <v>17</v>
      </c>
    </row>
    <row r="1388" spans="1:6" ht="15.6" x14ac:dyDescent="0.3">
      <c r="A1388" s="31">
        <v>43531</v>
      </c>
      <c r="B1388" s="24">
        <v>20</v>
      </c>
      <c r="C1388" s="24">
        <v>20</v>
      </c>
      <c r="D1388" s="24">
        <v>20</v>
      </c>
      <c r="E1388" s="26" t="s">
        <v>48</v>
      </c>
      <c r="F1388" s="17" t="s">
        <v>17</v>
      </c>
    </row>
    <row r="1389" spans="1:6" ht="15.6" x14ac:dyDescent="0.3">
      <c r="A1389" s="31">
        <v>43538</v>
      </c>
      <c r="B1389" s="24">
        <v>20</v>
      </c>
      <c r="C1389" s="24">
        <v>20</v>
      </c>
      <c r="D1389" s="24">
        <v>20</v>
      </c>
      <c r="E1389" s="26" t="s">
        <v>48</v>
      </c>
      <c r="F1389" s="17" t="s">
        <v>17</v>
      </c>
    </row>
    <row r="1390" spans="1:6" ht="15.6" x14ac:dyDescent="0.3">
      <c r="A1390" s="31">
        <v>43552</v>
      </c>
      <c r="B1390" s="24">
        <v>20</v>
      </c>
      <c r="C1390" s="24">
        <v>20</v>
      </c>
      <c r="D1390" s="24">
        <v>20</v>
      </c>
      <c r="E1390" s="26" t="s">
        <v>48</v>
      </c>
      <c r="F1390" s="17" t="s">
        <v>17</v>
      </c>
    </row>
    <row r="1391" spans="1:6" ht="15.6" x14ac:dyDescent="0.3">
      <c r="A1391" s="31">
        <v>43581</v>
      </c>
      <c r="B1391" s="24">
        <v>20</v>
      </c>
      <c r="C1391" s="24">
        <v>20</v>
      </c>
      <c r="D1391" s="24">
        <v>20</v>
      </c>
      <c r="E1391" s="26" t="s">
        <v>48</v>
      </c>
      <c r="F1391" s="17" t="s">
        <v>17</v>
      </c>
    </row>
    <row r="1392" spans="1:6" ht="15.6" x14ac:dyDescent="0.3">
      <c r="A1392" s="31">
        <v>43626</v>
      </c>
      <c r="B1392" s="24">
        <v>20</v>
      </c>
      <c r="C1392" s="24">
        <v>20</v>
      </c>
      <c r="D1392" s="24">
        <v>20</v>
      </c>
      <c r="E1392" s="26" t="s">
        <v>48</v>
      </c>
      <c r="F1392" s="17" t="s">
        <v>17</v>
      </c>
    </row>
    <row r="1393" spans="1:6" ht="15.6" x14ac:dyDescent="0.3">
      <c r="A1393" s="31">
        <v>43641</v>
      </c>
      <c r="B1393" s="24">
        <v>20</v>
      </c>
      <c r="C1393" s="24">
        <v>20</v>
      </c>
      <c r="D1393" s="24">
        <v>20</v>
      </c>
      <c r="E1393" s="26" t="s">
        <v>48</v>
      </c>
      <c r="F1393" s="17" t="s">
        <v>17</v>
      </c>
    </row>
    <row r="1394" spans="1:6" ht="15.6" x14ac:dyDescent="0.3">
      <c r="A1394" s="31">
        <v>43671</v>
      </c>
      <c r="B1394" s="24">
        <v>20</v>
      </c>
      <c r="C1394" s="24">
        <v>20</v>
      </c>
      <c r="D1394" s="24">
        <v>20</v>
      </c>
      <c r="E1394" s="26" t="s">
        <v>48</v>
      </c>
      <c r="F1394" s="17" t="s">
        <v>17</v>
      </c>
    </row>
    <row r="1395" spans="1:6" ht="15.6" x14ac:dyDescent="0.3">
      <c r="A1395" s="31">
        <v>43720</v>
      </c>
      <c r="B1395" s="24">
        <v>20</v>
      </c>
      <c r="C1395" s="24">
        <v>20</v>
      </c>
      <c r="D1395" s="24">
        <v>20</v>
      </c>
      <c r="E1395" s="26" t="s">
        <v>48</v>
      </c>
      <c r="F1395" s="17" t="s">
        <v>17</v>
      </c>
    </row>
    <row r="1396" spans="1:6" ht="15.6" x14ac:dyDescent="0.3">
      <c r="A1396" s="31">
        <v>43760</v>
      </c>
      <c r="B1396" s="24">
        <v>18</v>
      </c>
      <c r="C1396" s="24">
        <v>18</v>
      </c>
      <c r="D1396" s="24">
        <v>19</v>
      </c>
      <c r="E1396" s="26" t="s">
        <v>48</v>
      </c>
      <c r="F1396" s="17" t="s">
        <v>17</v>
      </c>
    </row>
    <row r="1397" spans="1:6" ht="15.6" x14ac:dyDescent="0.3">
      <c r="A1397" s="31">
        <v>43762</v>
      </c>
      <c r="B1397" s="24">
        <v>21</v>
      </c>
      <c r="C1397" s="24">
        <v>21</v>
      </c>
      <c r="D1397" s="24">
        <v>20</v>
      </c>
      <c r="E1397" s="26" t="s">
        <v>48</v>
      </c>
      <c r="F1397" s="17" t="s">
        <v>17</v>
      </c>
    </row>
    <row r="1398" spans="1:6" ht="15.6" x14ac:dyDescent="0.3">
      <c r="A1398" s="31">
        <v>43797</v>
      </c>
      <c r="B1398" s="24">
        <v>19</v>
      </c>
      <c r="C1398" s="24">
        <v>19</v>
      </c>
      <c r="D1398" s="24">
        <v>19</v>
      </c>
      <c r="E1398" s="26" t="s">
        <v>48</v>
      </c>
      <c r="F1398" s="17" t="s">
        <v>17</v>
      </c>
    </row>
    <row r="1399" spans="1:6" ht="15.6" x14ac:dyDescent="0.3">
      <c r="A1399" s="31">
        <v>43802</v>
      </c>
      <c r="B1399" s="24">
        <v>20</v>
      </c>
      <c r="C1399" s="24">
        <v>20</v>
      </c>
      <c r="D1399" s="24">
        <v>20</v>
      </c>
      <c r="E1399" s="26" t="s">
        <v>48</v>
      </c>
      <c r="F1399" s="17" t="s">
        <v>17</v>
      </c>
    </row>
    <row r="1400" spans="1:6" ht="15.6" x14ac:dyDescent="0.3">
      <c r="A1400" s="31">
        <v>43822</v>
      </c>
      <c r="B1400" s="24">
        <v>20</v>
      </c>
      <c r="C1400" s="24">
        <v>20</v>
      </c>
      <c r="D1400" s="24">
        <v>20</v>
      </c>
      <c r="E1400" s="26" t="s">
        <v>48</v>
      </c>
      <c r="F1400" s="17" t="s">
        <v>17</v>
      </c>
    </row>
    <row r="1401" spans="1:6" ht="15.6" x14ac:dyDescent="0.3">
      <c r="A1401" s="31">
        <v>43836</v>
      </c>
      <c r="B1401" s="24">
        <v>1</v>
      </c>
      <c r="C1401" s="24">
        <v>1</v>
      </c>
      <c r="D1401" s="24">
        <v>1</v>
      </c>
      <c r="E1401" s="26" t="s">
        <v>48</v>
      </c>
      <c r="F1401" s="17" t="s">
        <v>17</v>
      </c>
    </row>
    <row r="1402" spans="1:6" ht="15.6" x14ac:dyDescent="0.3">
      <c r="A1402" s="31">
        <v>43846</v>
      </c>
      <c r="B1402" s="24">
        <v>20</v>
      </c>
      <c r="C1402" s="24">
        <v>20</v>
      </c>
      <c r="D1402" s="24">
        <v>20</v>
      </c>
      <c r="E1402" s="26" t="s">
        <v>48</v>
      </c>
      <c r="F1402" s="17" t="s">
        <v>17</v>
      </c>
    </row>
    <row r="1403" spans="1:6" ht="15.6" x14ac:dyDescent="0.3">
      <c r="A1403" s="31">
        <v>43866</v>
      </c>
      <c r="B1403" s="24">
        <v>17</v>
      </c>
      <c r="C1403" s="24">
        <v>17</v>
      </c>
      <c r="D1403" s="24">
        <v>17</v>
      </c>
      <c r="E1403" s="26" t="s">
        <v>48</v>
      </c>
      <c r="F1403" s="17" t="s">
        <v>17</v>
      </c>
    </row>
    <row r="1404" spans="1:6" ht="15.6" x14ac:dyDescent="0.3">
      <c r="A1404" s="31">
        <v>43874</v>
      </c>
      <c r="B1404" s="24">
        <v>20</v>
      </c>
      <c r="C1404" s="24">
        <v>20</v>
      </c>
      <c r="D1404" s="24">
        <v>20</v>
      </c>
      <c r="E1404" s="26" t="s">
        <v>48</v>
      </c>
      <c r="F1404" s="17" t="s">
        <v>17</v>
      </c>
    </row>
    <row r="1405" spans="1:6" ht="15.6" x14ac:dyDescent="0.3">
      <c r="A1405" s="31">
        <v>43881</v>
      </c>
      <c r="B1405" s="24">
        <v>18</v>
      </c>
      <c r="C1405" s="24">
        <v>18</v>
      </c>
      <c r="D1405" s="24">
        <v>18</v>
      </c>
      <c r="E1405" s="26" t="s">
        <v>48</v>
      </c>
      <c r="F1405" s="17" t="s">
        <v>17</v>
      </c>
    </row>
    <row r="1406" spans="1:6" ht="15.6" x14ac:dyDescent="0.3">
      <c r="A1406" s="31">
        <v>43901</v>
      </c>
      <c r="B1406" s="24">
        <v>20</v>
      </c>
      <c r="C1406" s="48">
        <v>20</v>
      </c>
      <c r="D1406" s="24">
        <v>20</v>
      </c>
      <c r="E1406" s="26" t="s">
        <v>48</v>
      </c>
      <c r="F1406" s="17" t="s">
        <v>17</v>
      </c>
    </row>
    <row r="1407" spans="1:6" ht="15.6" x14ac:dyDescent="0.3">
      <c r="A1407" s="31">
        <v>44007</v>
      </c>
      <c r="B1407" s="24">
        <v>22</v>
      </c>
      <c r="C1407" s="24">
        <v>22</v>
      </c>
      <c r="D1407" s="24">
        <v>22</v>
      </c>
      <c r="E1407" s="26" t="s">
        <v>48</v>
      </c>
      <c r="F1407" s="17" t="s">
        <v>17</v>
      </c>
    </row>
    <row r="1408" spans="1:6" ht="15.6" x14ac:dyDescent="0.3">
      <c r="A1408" s="31">
        <v>44014</v>
      </c>
      <c r="B1408" s="24">
        <v>66</v>
      </c>
      <c r="C1408" s="24">
        <v>65</v>
      </c>
      <c r="D1408" s="24">
        <v>65</v>
      </c>
      <c r="E1408" s="26" t="s">
        <v>48</v>
      </c>
      <c r="F1408" s="17" t="s">
        <v>17</v>
      </c>
    </row>
    <row r="1409" spans="1:6" ht="15.6" x14ac:dyDescent="0.3">
      <c r="A1409" s="31">
        <v>44021</v>
      </c>
      <c r="B1409" s="24">
        <v>13</v>
      </c>
      <c r="C1409" s="24">
        <v>13</v>
      </c>
      <c r="D1409" s="24">
        <v>13</v>
      </c>
      <c r="E1409" s="26" t="s">
        <v>48</v>
      </c>
      <c r="F1409" s="17" t="s">
        <v>17</v>
      </c>
    </row>
    <row r="1410" spans="1:6" ht="15.6" x14ac:dyDescent="0.3">
      <c r="A1410" s="31">
        <v>44026</v>
      </c>
      <c r="B1410" s="24">
        <v>10</v>
      </c>
      <c r="C1410" s="48">
        <v>10</v>
      </c>
      <c r="D1410" s="24">
        <v>10</v>
      </c>
      <c r="E1410" s="26" t="s">
        <v>48</v>
      </c>
      <c r="F1410" s="17" t="s">
        <v>17</v>
      </c>
    </row>
    <row r="1411" spans="1:6" ht="15.6" x14ac:dyDescent="0.3">
      <c r="A1411" s="31">
        <v>44026</v>
      </c>
      <c r="B1411" s="24">
        <v>10</v>
      </c>
      <c r="C1411" s="48">
        <v>10</v>
      </c>
      <c r="D1411" s="24">
        <v>10</v>
      </c>
      <c r="E1411" s="26" t="s">
        <v>48</v>
      </c>
      <c r="F1411" s="17" t="s">
        <v>17</v>
      </c>
    </row>
    <row r="1412" spans="1:6" ht="15.6" x14ac:dyDescent="0.3">
      <c r="A1412" s="31">
        <v>44033</v>
      </c>
      <c r="B1412" s="24">
        <v>22</v>
      </c>
      <c r="C1412" s="48">
        <v>22</v>
      </c>
      <c r="D1412" s="24">
        <v>21</v>
      </c>
      <c r="E1412" s="26" t="s">
        <v>48</v>
      </c>
      <c r="F1412" s="17" t="s">
        <v>17</v>
      </c>
    </row>
    <row r="1413" spans="1:6" ht="15.6" x14ac:dyDescent="0.3">
      <c r="A1413" s="31">
        <v>44035</v>
      </c>
      <c r="B1413" s="24">
        <v>12</v>
      </c>
      <c r="C1413" s="48">
        <v>12</v>
      </c>
      <c r="D1413" s="24">
        <v>12</v>
      </c>
      <c r="E1413" s="26" t="s">
        <v>48</v>
      </c>
      <c r="F1413" s="17" t="s">
        <v>17</v>
      </c>
    </row>
    <row r="1414" spans="1:6" ht="15.6" x14ac:dyDescent="0.3">
      <c r="A1414" s="31">
        <v>44040</v>
      </c>
      <c r="B1414" s="24">
        <v>26</v>
      </c>
      <c r="C1414" s="48">
        <v>26</v>
      </c>
      <c r="D1414" s="24">
        <v>26</v>
      </c>
      <c r="E1414" s="26" t="s">
        <v>48</v>
      </c>
      <c r="F1414" s="17" t="s">
        <v>17</v>
      </c>
    </row>
    <row r="1415" spans="1:6" ht="15.6" x14ac:dyDescent="0.3">
      <c r="A1415" s="31">
        <v>44042</v>
      </c>
      <c r="B1415" s="24">
        <v>24</v>
      </c>
      <c r="C1415" s="48">
        <v>24</v>
      </c>
      <c r="D1415" s="24">
        <v>24</v>
      </c>
      <c r="E1415" s="26" t="s">
        <v>48</v>
      </c>
      <c r="F1415" s="17" t="s">
        <v>17</v>
      </c>
    </row>
    <row r="1416" spans="1:6" ht="15.6" x14ac:dyDescent="0.3">
      <c r="A1416" s="31">
        <v>44042</v>
      </c>
      <c r="B1416" s="24">
        <v>13</v>
      </c>
      <c r="C1416" s="48">
        <v>13</v>
      </c>
      <c r="D1416" s="24">
        <v>13</v>
      </c>
      <c r="E1416" s="26" t="s">
        <v>48</v>
      </c>
      <c r="F1416" s="17" t="s">
        <v>17</v>
      </c>
    </row>
    <row r="1417" spans="1:6" ht="15.6" x14ac:dyDescent="0.3">
      <c r="A1417" s="31">
        <v>44047</v>
      </c>
      <c r="B1417" s="24">
        <v>29</v>
      </c>
      <c r="C1417" s="48">
        <v>29</v>
      </c>
      <c r="D1417" s="24">
        <v>29</v>
      </c>
      <c r="E1417" s="26" t="s">
        <v>48</v>
      </c>
      <c r="F1417" s="17" t="s">
        <v>17</v>
      </c>
    </row>
    <row r="1418" spans="1:6" ht="15.6" x14ac:dyDescent="0.3">
      <c r="A1418" s="31">
        <v>44063</v>
      </c>
      <c r="B1418" s="24">
        <v>20</v>
      </c>
      <c r="C1418" s="48">
        <v>20</v>
      </c>
      <c r="D1418" s="24">
        <v>20</v>
      </c>
      <c r="E1418" s="26" t="s">
        <v>48</v>
      </c>
      <c r="F1418" s="17" t="s">
        <v>17</v>
      </c>
    </row>
    <row r="1419" spans="1:6" ht="15.6" x14ac:dyDescent="0.3">
      <c r="A1419" s="76">
        <v>44075</v>
      </c>
      <c r="B1419" s="24">
        <v>28</v>
      </c>
      <c r="C1419" s="48">
        <v>28</v>
      </c>
      <c r="D1419" s="24">
        <v>28</v>
      </c>
      <c r="E1419" s="26" t="s">
        <v>48</v>
      </c>
      <c r="F1419" s="17" t="s">
        <v>17</v>
      </c>
    </row>
    <row r="1420" spans="1:6" ht="15.6" x14ac:dyDescent="0.3">
      <c r="A1420" s="31">
        <v>44088</v>
      </c>
      <c r="B1420" s="24">
        <v>25</v>
      </c>
      <c r="C1420" s="48">
        <v>25</v>
      </c>
      <c r="D1420" s="24">
        <v>25</v>
      </c>
      <c r="E1420" s="26" t="s">
        <v>48</v>
      </c>
      <c r="F1420" s="17" t="s">
        <v>17</v>
      </c>
    </row>
    <row r="1421" spans="1:6" ht="15.6" x14ac:dyDescent="0.3">
      <c r="A1421" s="31">
        <v>44088</v>
      </c>
      <c r="B1421" s="24">
        <v>10</v>
      </c>
      <c r="C1421" s="48">
        <v>10</v>
      </c>
      <c r="D1421" s="24">
        <v>10</v>
      </c>
      <c r="E1421" s="26" t="s">
        <v>48</v>
      </c>
      <c r="F1421" s="17" t="s">
        <v>17</v>
      </c>
    </row>
    <row r="1422" spans="1:6" ht="15.6" x14ac:dyDescent="0.3">
      <c r="A1422" s="31">
        <v>44090</v>
      </c>
      <c r="B1422" s="24">
        <v>13</v>
      </c>
      <c r="C1422" s="48">
        <v>13</v>
      </c>
      <c r="D1422" s="24">
        <v>13</v>
      </c>
      <c r="E1422" s="26" t="s">
        <v>48</v>
      </c>
      <c r="F1422" s="17" t="s">
        <v>17</v>
      </c>
    </row>
    <row r="1423" spans="1:6" ht="15.6" x14ac:dyDescent="0.3">
      <c r="A1423" s="31">
        <v>44116</v>
      </c>
      <c r="B1423" s="24">
        <v>28</v>
      </c>
      <c r="C1423" s="48">
        <v>28</v>
      </c>
      <c r="D1423" s="24">
        <v>28</v>
      </c>
      <c r="E1423" s="26" t="s">
        <v>48</v>
      </c>
      <c r="F1423" s="17" t="s">
        <v>17</v>
      </c>
    </row>
    <row r="1424" spans="1:6" ht="15.6" x14ac:dyDescent="0.3">
      <c r="A1424" s="31">
        <v>44116</v>
      </c>
      <c r="B1424" s="24">
        <v>24</v>
      </c>
      <c r="C1424" s="48">
        <v>24</v>
      </c>
      <c r="D1424" s="24">
        <v>24</v>
      </c>
      <c r="E1424" s="26" t="s">
        <v>48</v>
      </c>
      <c r="F1424" s="17" t="s">
        <v>17</v>
      </c>
    </row>
    <row r="1425" spans="1:6" ht="15.6" x14ac:dyDescent="0.3">
      <c r="A1425" s="31">
        <v>44140</v>
      </c>
      <c r="B1425" s="24">
        <v>34</v>
      </c>
      <c r="C1425" s="48">
        <v>34</v>
      </c>
      <c r="D1425" s="24">
        <v>34</v>
      </c>
      <c r="E1425" s="26" t="s">
        <v>48</v>
      </c>
      <c r="F1425" s="17" t="s">
        <v>17</v>
      </c>
    </row>
    <row r="1426" spans="1:6" ht="15.6" x14ac:dyDescent="0.3">
      <c r="A1426" s="31">
        <v>44140</v>
      </c>
      <c r="B1426" s="24">
        <v>29</v>
      </c>
      <c r="C1426" s="48">
        <v>29</v>
      </c>
      <c r="D1426" s="24">
        <v>29</v>
      </c>
      <c r="E1426" s="26" t="s">
        <v>48</v>
      </c>
      <c r="F1426" s="17" t="s">
        <v>17</v>
      </c>
    </row>
    <row r="1427" spans="1:6" ht="15.6" x14ac:dyDescent="0.3">
      <c r="A1427" s="31">
        <v>44140</v>
      </c>
      <c r="B1427" s="24">
        <v>25</v>
      </c>
      <c r="C1427" s="48">
        <v>25</v>
      </c>
      <c r="D1427" s="24">
        <v>25</v>
      </c>
      <c r="E1427" s="26" t="s">
        <v>48</v>
      </c>
      <c r="F1427" s="17" t="s">
        <v>17</v>
      </c>
    </row>
    <row r="1428" spans="1:6" ht="15.6" x14ac:dyDescent="0.3">
      <c r="A1428" s="31">
        <v>44186</v>
      </c>
      <c r="B1428" s="24">
        <v>59</v>
      </c>
      <c r="C1428" s="48">
        <v>59</v>
      </c>
      <c r="D1428" s="24">
        <v>59</v>
      </c>
      <c r="E1428" s="26" t="s">
        <v>48</v>
      </c>
      <c r="F1428" s="17" t="s">
        <v>17</v>
      </c>
    </row>
    <row r="1429" spans="1:6" ht="15.6" x14ac:dyDescent="0.3">
      <c r="A1429" s="31">
        <v>44224</v>
      </c>
      <c r="B1429" s="24">
        <v>58</v>
      </c>
      <c r="C1429" s="48">
        <v>58</v>
      </c>
      <c r="D1429" s="24">
        <v>58</v>
      </c>
      <c r="E1429" s="26" t="s">
        <v>48</v>
      </c>
      <c r="F1429" s="17" t="s">
        <v>17</v>
      </c>
    </row>
    <row r="1430" spans="1:6" ht="15.6" x14ac:dyDescent="0.3">
      <c r="A1430" s="31">
        <v>44256</v>
      </c>
      <c r="B1430" s="24">
        <v>23</v>
      </c>
      <c r="C1430" s="48">
        <v>23</v>
      </c>
      <c r="D1430" s="24">
        <v>23</v>
      </c>
      <c r="E1430" s="26" t="s">
        <v>48</v>
      </c>
      <c r="F1430" s="17" t="s">
        <v>17</v>
      </c>
    </row>
    <row r="1431" spans="1:6" ht="15.6" x14ac:dyDescent="0.3">
      <c r="A1431" s="31">
        <v>44284</v>
      </c>
      <c r="B1431" s="24">
        <v>28</v>
      </c>
      <c r="C1431" s="48">
        <v>28</v>
      </c>
      <c r="D1431" s="24">
        <v>28</v>
      </c>
      <c r="E1431" s="26" t="s">
        <v>48</v>
      </c>
      <c r="F1431" s="17" t="s">
        <v>17</v>
      </c>
    </row>
    <row r="1432" spans="1:6" ht="15.6" x14ac:dyDescent="0.3">
      <c r="A1432" s="31">
        <v>44308</v>
      </c>
      <c r="B1432" s="24">
        <v>29</v>
      </c>
      <c r="C1432" s="48">
        <v>29</v>
      </c>
      <c r="D1432" s="24">
        <v>29</v>
      </c>
      <c r="E1432" s="26" t="s">
        <v>48</v>
      </c>
      <c r="F1432" s="17" t="s">
        <v>17</v>
      </c>
    </row>
    <row r="1433" spans="1:6" ht="15.6" x14ac:dyDescent="0.3">
      <c r="A1433" s="31">
        <v>44322</v>
      </c>
      <c r="B1433" s="24">
        <v>27</v>
      </c>
      <c r="C1433" s="48">
        <v>27</v>
      </c>
      <c r="D1433" s="24">
        <v>27</v>
      </c>
      <c r="E1433" s="26" t="s">
        <v>48</v>
      </c>
      <c r="F1433" s="17" t="s">
        <v>17</v>
      </c>
    </row>
    <row r="1434" spans="1:6" ht="15.6" x14ac:dyDescent="0.3">
      <c r="A1434" s="31">
        <v>44413</v>
      </c>
      <c r="B1434" s="24">
        <v>39</v>
      </c>
      <c r="C1434" s="48">
        <v>39</v>
      </c>
      <c r="D1434" s="24">
        <v>39</v>
      </c>
      <c r="E1434" s="26" t="s">
        <v>48</v>
      </c>
      <c r="F1434" s="17" t="s">
        <v>17</v>
      </c>
    </row>
    <row r="1435" spans="1:6" ht="15.6" x14ac:dyDescent="0.3">
      <c r="A1435" s="31">
        <v>44453</v>
      </c>
      <c r="B1435" s="24">
        <v>33</v>
      </c>
      <c r="C1435" s="48">
        <v>33</v>
      </c>
      <c r="D1435" s="24">
        <v>33</v>
      </c>
      <c r="E1435" s="26" t="s">
        <v>48</v>
      </c>
      <c r="F1435" s="17" t="s">
        <v>17</v>
      </c>
    </row>
    <row r="1436" spans="1:6" ht="15.6" x14ac:dyDescent="0.3">
      <c r="A1436" s="31">
        <v>44509</v>
      </c>
      <c r="B1436" s="24">
        <v>40</v>
      </c>
      <c r="C1436" s="48">
        <v>40</v>
      </c>
      <c r="D1436" s="24">
        <v>40</v>
      </c>
      <c r="E1436" s="26" t="s">
        <v>48</v>
      </c>
      <c r="F1436" s="17" t="s">
        <v>17</v>
      </c>
    </row>
    <row r="1437" spans="1:6" ht="15.6" x14ac:dyDescent="0.3">
      <c r="A1437" s="31">
        <v>44525</v>
      </c>
      <c r="B1437" s="24">
        <v>32</v>
      </c>
      <c r="C1437" s="48">
        <v>32</v>
      </c>
      <c r="D1437" s="24">
        <v>32</v>
      </c>
      <c r="E1437" s="26" t="s">
        <v>48</v>
      </c>
      <c r="F1437" s="17" t="s">
        <v>17</v>
      </c>
    </row>
    <row r="1438" spans="1:6" ht="15.6" x14ac:dyDescent="0.3">
      <c r="A1438" s="31">
        <v>44532</v>
      </c>
      <c r="B1438" s="24">
        <v>48</v>
      </c>
      <c r="C1438" s="48">
        <v>48</v>
      </c>
      <c r="D1438" s="24">
        <v>48</v>
      </c>
      <c r="E1438" s="26" t="s">
        <v>48</v>
      </c>
      <c r="F1438" s="17" t="s">
        <v>17</v>
      </c>
    </row>
    <row r="1439" spans="1:6" ht="15.6" x14ac:dyDescent="0.3">
      <c r="A1439" s="31">
        <v>44543</v>
      </c>
      <c r="B1439" s="24">
        <v>59</v>
      </c>
      <c r="C1439" s="48">
        <v>59</v>
      </c>
      <c r="D1439" s="24">
        <v>59</v>
      </c>
      <c r="E1439" s="26" t="s">
        <v>48</v>
      </c>
      <c r="F1439" s="17" t="s">
        <v>17</v>
      </c>
    </row>
    <row r="1440" spans="1:6" ht="15.6" x14ac:dyDescent="0.3">
      <c r="A1440" s="31">
        <v>44546</v>
      </c>
      <c r="B1440" s="24">
        <v>64</v>
      </c>
      <c r="C1440" s="48">
        <v>64</v>
      </c>
      <c r="D1440" s="24">
        <v>64</v>
      </c>
      <c r="E1440" s="26" t="s">
        <v>48</v>
      </c>
      <c r="F1440" s="17" t="s">
        <v>17</v>
      </c>
    </row>
    <row r="1441" spans="1:6" ht="15.6" x14ac:dyDescent="0.3">
      <c r="A1441" s="31">
        <v>44558</v>
      </c>
      <c r="B1441" s="24">
        <v>76</v>
      </c>
      <c r="C1441" s="48">
        <v>76</v>
      </c>
      <c r="D1441" s="24">
        <v>76</v>
      </c>
      <c r="E1441" s="26" t="s">
        <v>48</v>
      </c>
      <c r="F1441" s="17" t="s">
        <v>17</v>
      </c>
    </row>
    <row r="1442" spans="1:6" ht="15.6" x14ac:dyDescent="0.3">
      <c r="A1442" s="31">
        <v>44574</v>
      </c>
      <c r="B1442" s="24">
        <v>80</v>
      </c>
      <c r="C1442" s="48">
        <v>80</v>
      </c>
      <c r="D1442" s="24">
        <v>80</v>
      </c>
      <c r="E1442" s="26" t="s">
        <v>48</v>
      </c>
      <c r="F1442" s="17" t="s">
        <v>17</v>
      </c>
    </row>
    <row r="1443" spans="1:6" ht="15.6" x14ac:dyDescent="0.3">
      <c r="A1443" s="31">
        <v>44852</v>
      </c>
      <c r="B1443" s="24">
        <v>33</v>
      </c>
      <c r="C1443" s="48">
        <v>33</v>
      </c>
      <c r="D1443" s="24">
        <v>33</v>
      </c>
      <c r="E1443" s="26" t="s">
        <v>48</v>
      </c>
      <c r="F1443" s="17" t="s">
        <v>17</v>
      </c>
    </row>
    <row r="1444" spans="1:6" ht="15.6" x14ac:dyDescent="0.3">
      <c r="A1444" s="31">
        <v>44860</v>
      </c>
      <c r="B1444" s="24">
        <v>34</v>
      </c>
      <c r="C1444" s="48">
        <v>34</v>
      </c>
      <c r="D1444" s="24">
        <v>34</v>
      </c>
      <c r="E1444" s="26" t="s">
        <v>48</v>
      </c>
      <c r="F1444" s="17" t="s">
        <v>17</v>
      </c>
    </row>
    <row r="1445" spans="1:6" ht="15.6" x14ac:dyDescent="0.3">
      <c r="A1445" s="31">
        <v>44856</v>
      </c>
      <c r="B1445" s="24">
        <v>22</v>
      </c>
      <c r="C1445" s="48">
        <v>22</v>
      </c>
      <c r="D1445" s="24">
        <v>22</v>
      </c>
      <c r="E1445" s="26" t="s">
        <v>48</v>
      </c>
      <c r="F1445" s="17" t="s">
        <v>17</v>
      </c>
    </row>
    <row r="1446" spans="1:6" ht="15.6" x14ac:dyDescent="0.3">
      <c r="A1446" s="31">
        <v>44879</v>
      </c>
      <c r="B1446" s="24">
        <v>28</v>
      </c>
      <c r="C1446" s="48">
        <v>28</v>
      </c>
      <c r="D1446" s="24">
        <v>28</v>
      </c>
      <c r="E1446" s="26" t="s">
        <v>48</v>
      </c>
      <c r="F1446" s="17" t="s">
        <v>17</v>
      </c>
    </row>
    <row r="1447" spans="1:6" ht="15.6" x14ac:dyDescent="0.3">
      <c r="A1447" s="31">
        <v>44880</v>
      </c>
      <c r="B1447" s="24">
        <v>29</v>
      </c>
      <c r="C1447" s="48">
        <v>29</v>
      </c>
      <c r="D1447" s="24">
        <v>29</v>
      </c>
      <c r="E1447" s="26" t="s">
        <v>48</v>
      </c>
      <c r="F1447" s="17" t="s">
        <v>17</v>
      </c>
    </row>
    <row r="1448" spans="1:6" ht="15.6" x14ac:dyDescent="0.3">
      <c r="A1448" s="31">
        <v>44887</v>
      </c>
      <c r="B1448" s="24">
        <v>27</v>
      </c>
      <c r="C1448" s="48">
        <v>27</v>
      </c>
      <c r="D1448" s="24">
        <v>27</v>
      </c>
      <c r="E1448" s="26" t="s">
        <v>48</v>
      </c>
      <c r="F1448" s="17" t="s">
        <v>17</v>
      </c>
    </row>
    <row r="1449" spans="1:6" ht="15.6" x14ac:dyDescent="0.3">
      <c r="A1449" s="31">
        <v>44893</v>
      </c>
      <c r="B1449" s="24">
        <v>32</v>
      </c>
      <c r="C1449" s="48">
        <v>31</v>
      </c>
      <c r="D1449" s="24">
        <v>32</v>
      </c>
      <c r="E1449" s="26" t="s">
        <v>48</v>
      </c>
      <c r="F1449" s="17" t="s">
        <v>17</v>
      </c>
    </row>
    <row r="1450" spans="1:6" ht="15.6" x14ac:dyDescent="0.3">
      <c r="A1450" s="31">
        <v>44896</v>
      </c>
      <c r="B1450" s="24">
        <v>35</v>
      </c>
      <c r="C1450" s="48">
        <v>35</v>
      </c>
      <c r="D1450" s="24">
        <v>35</v>
      </c>
      <c r="E1450" s="26" t="s">
        <v>48</v>
      </c>
      <c r="F1450" s="17" t="s">
        <v>17</v>
      </c>
    </row>
    <row r="1451" spans="1:6" ht="15.6" x14ac:dyDescent="0.3">
      <c r="A1451" s="31">
        <v>44914</v>
      </c>
      <c r="B1451" s="24">
        <v>29</v>
      </c>
      <c r="C1451" s="48">
        <v>29</v>
      </c>
      <c r="D1451" s="24">
        <v>29</v>
      </c>
      <c r="E1451" s="26" t="s">
        <v>48</v>
      </c>
      <c r="F1451" s="17" t="s">
        <v>17</v>
      </c>
    </row>
    <row r="1452" spans="1:6" ht="15.6" x14ac:dyDescent="0.3">
      <c r="A1452" s="31">
        <v>44915</v>
      </c>
      <c r="B1452" s="24">
        <v>29</v>
      </c>
      <c r="C1452" s="48">
        <v>28</v>
      </c>
      <c r="D1452" s="24">
        <v>29</v>
      </c>
      <c r="E1452" s="26" t="s">
        <v>48</v>
      </c>
      <c r="F1452" s="17" t="s">
        <v>17</v>
      </c>
    </row>
    <row r="1453" spans="1:6" ht="15.6" x14ac:dyDescent="0.3">
      <c r="A1453" s="31">
        <v>44966</v>
      </c>
      <c r="B1453" s="24">
        <v>26</v>
      </c>
      <c r="C1453" s="48"/>
      <c r="D1453" s="24"/>
      <c r="E1453" s="26" t="s">
        <v>48</v>
      </c>
      <c r="F1453" s="17" t="s">
        <v>17</v>
      </c>
    </row>
    <row r="1454" spans="1:6" ht="15.6" x14ac:dyDescent="0.3">
      <c r="A1454" s="31">
        <v>45013</v>
      </c>
      <c r="B1454" s="24">
        <v>28</v>
      </c>
      <c r="C1454" s="48"/>
      <c r="D1454" s="24"/>
      <c r="E1454" s="26" t="s">
        <v>48</v>
      </c>
      <c r="F1454" s="17" t="s">
        <v>17</v>
      </c>
    </row>
    <row r="1455" spans="1:6" ht="15.6" x14ac:dyDescent="0.3">
      <c r="A1455" s="31">
        <v>43404</v>
      </c>
      <c r="B1455" s="54">
        <v>16</v>
      </c>
      <c r="C1455" s="54">
        <f>B1455</f>
        <v>16</v>
      </c>
      <c r="D1455" s="54">
        <v>16</v>
      </c>
      <c r="E1455" s="26" t="s">
        <v>49</v>
      </c>
      <c r="F1455" s="17" t="s">
        <v>17</v>
      </c>
    </row>
    <row r="1456" spans="1:6" ht="15.6" x14ac:dyDescent="0.3">
      <c r="A1456" s="31">
        <v>43404</v>
      </c>
      <c r="B1456" s="54">
        <v>18</v>
      </c>
      <c r="C1456" s="54">
        <f t="shared" ref="C1456:C1474" si="0">B1456</f>
        <v>18</v>
      </c>
      <c r="D1456" s="54">
        <v>18</v>
      </c>
      <c r="E1456" s="26" t="s">
        <v>49</v>
      </c>
      <c r="F1456" s="17" t="s">
        <v>17</v>
      </c>
    </row>
    <row r="1457" spans="1:6" ht="15.6" x14ac:dyDescent="0.3">
      <c r="A1457" s="31">
        <v>43453</v>
      </c>
      <c r="B1457" s="54">
        <v>13</v>
      </c>
      <c r="C1457" s="54">
        <f t="shared" si="0"/>
        <v>13</v>
      </c>
      <c r="D1457" s="54">
        <v>13</v>
      </c>
      <c r="E1457" s="26" t="s">
        <v>49</v>
      </c>
      <c r="F1457" s="17" t="s">
        <v>17</v>
      </c>
    </row>
    <row r="1458" spans="1:6" ht="15.6" x14ac:dyDescent="0.3">
      <c r="A1458" s="31">
        <v>43453</v>
      </c>
      <c r="B1458" s="54">
        <v>17</v>
      </c>
      <c r="C1458" s="54">
        <f t="shared" si="0"/>
        <v>17</v>
      </c>
      <c r="D1458" s="54">
        <v>17</v>
      </c>
      <c r="E1458" s="26" t="s">
        <v>49</v>
      </c>
      <c r="F1458" s="17" t="s">
        <v>17</v>
      </c>
    </row>
    <row r="1459" spans="1:6" ht="15.6" x14ac:dyDescent="0.3">
      <c r="A1459" s="31">
        <v>43453</v>
      </c>
      <c r="B1459" s="54">
        <v>11</v>
      </c>
      <c r="C1459" s="54">
        <f t="shared" si="0"/>
        <v>11</v>
      </c>
      <c r="D1459" s="54">
        <v>11</v>
      </c>
      <c r="E1459" s="26" t="s">
        <v>49</v>
      </c>
      <c r="F1459" s="17" t="s">
        <v>17</v>
      </c>
    </row>
    <row r="1460" spans="1:6" ht="15.6" x14ac:dyDescent="0.3">
      <c r="A1460" s="31">
        <v>43644</v>
      </c>
      <c r="B1460" s="54">
        <v>19</v>
      </c>
      <c r="C1460" s="54">
        <f t="shared" si="0"/>
        <v>19</v>
      </c>
      <c r="D1460" s="54">
        <v>19</v>
      </c>
      <c r="E1460" s="26" t="s">
        <v>49</v>
      </c>
      <c r="F1460" s="17" t="s">
        <v>17</v>
      </c>
    </row>
    <row r="1461" spans="1:6" ht="15.6" x14ac:dyDescent="0.3">
      <c r="A1461" s="31">
        <v>43644</v>
      </c>
      <c r="B1461" s="54">
        <v>18</v>
      </c>
      <c r="C1461" s="54">
        <f t="shared" si="0"/>
        <v>18</v>
      </c>
      <c r="D1461" s="54">
        <v>18</v>
      </c>
      <c r="E1461" s="26" t="s">
        <v>49</v>
      </c>
      <c r="F1461" s="17" t="s">
        <v>17</v>
      </c>
    </row>
    <row r="1462" spans="1:6" ht="15.6" x14ac:dyDescent="0.3">
      <c r="A1462" s="31">
        <v>43644</v>
      </c>
      <c r="B1462" s="54">
        <v>17</v>
      </c>
      <c r="C1462" s="54">
        <f t="shared" si="0"/>
        <v>17</v>
      </c>
      <c r="D1462" s="54">
        <v>17</v>
      </c>
      <c r="E1462" s="26" t="s">
        <v>49</v>
      </c>
      <c r="F1462" s="17" t="s">
        <v>17</v>
      </c>
    </row>
    <row r="1463" spans="1:6" ht="15.6" x14ac:dyDescent="0.3">
      <c r="A1463" s="90">
        <v>43710</v>
      </c>
      <c r="B1463" s="54">
        <v>18</v>
      </c>
      <c r="C1463" s="54">
        <f t="shared" si="0"/>
        <v>18</v>
      </c>
      <c r="D1463" s="54">
        <v>18</v>
      </c>
      <c r="E1463" s="26" t="s">
        <v>49</v>
      </c>
      <c r="F1463" s="17" t="s">
        <v>17</v>
      </c>
    </row>
    <row r="1464" spans="1:6" ht="15.6" x14ac:dyDescent="0.3">
      <c r="A1464" s="90">
        <v>43710</v>
      </c>
      <c r="B1464" s="54">
        <v>18</v>
      </c>
      <c r="C1464" s="54">
        <f t="shared" si="0"/>
        <v>18</v>
      </c>
      <c r="D1464" s="54">
        <v>18</v>
      </c>
      <c r="E1464" s="26" t="s">
        <v>49</v>
      </c>
      <c r="F1464" s="17" t="s">
        <v>17</v>
      </c>
    </row>
    <row r="1465" spans="1:6" ht="15.6" x14ac:dyDescent="0.3">
      <c r="A1465" s="90">
        <v>43710</v>
      </c>
      <c r="B1465" s="54">
        <v>18</v>
      </c>
      <c r="C1465" s="54">
        <f t="shared" si="0"/>
        <v>18</v>
      </c>
      <c r="D1465" s="54">
        <v>18</v>
      </c>
      <c r="E1465" s="26" t="s">
        <v>49</v>
      </c>
      <c r="F1465" s="17" t="s">
        <v>17</v>
      </c>
    </row>
    <row r="1466" spans="1:6" ht="15.6" x14ac:dyDescent="0.3">
      <c r="A1466" s="90">
        <v>43710</v>
      </c>
      <c r="B1466" s="54">
        <v>14</v>
      </c>
      <c r="C1466" s="54">
        <f t="shared" si="0"/>
        <v>14</v>
      </c>
      <c r="D1466" s="54">
        <v>14</v>
      </c>
      <c r="E1466" s="26" t="s">
        <v>49</v>
      </c>
      <c r="F1466" s="17" t="s">
        <v>17</v>
      </c>
    </row>
    <row r="1467" spans="1:6" ht="15.6" x14ac:dyDescent="0.3">
      <c r="A1467" s="31">
        <v>43759</v>
      </c>
      <c r="B1467" s="54">
        <v>17</v>
      </c>
      <c r="C1467" s="54">
        <f t="shared" si="0"/>
        <v>17</v>
      </c>
      <c r="D1467" s="54">
        <v>17</v>
      </c>
      <c r="E1467" s="26" t="s">
        <v>49</v>
      </c>
      <c r="F1467" s="17" t="s">
        <v>17</v>
      </c>
    </row>
    <row r="1468" spans="1:6" ht="15.6" x14ac:dyDescent="0.3">
      <c r="A1468" s="31">
        <v>43759</v>
      </c>
      <c r="B1468" s="54">
        <v>25</v>
      </c>
      <c r="C1468" s="54">
        <f t="shared" si="0"/>
        <v>25</v>
      </c>
      <c r="D1468" s="54">
        <v>25</v>
      </c>
      <c r="E1468" s="26" t="s">
        <v>49</v>
      </c>
      <c r="F1468" s="17" t="s">
        <v>17</v>
      </c>
    </row>
    <row r="1469" spans="1:6" ht="15.6" x14ac:dyDescent="0.3">
      <c r="A1469" s="31">
        <v>43759</v>
      </c>
      <c r="B1469" s="54">
        <v>19</v>
      </c>
      <c r="C1469" s="54">
        <f t="shared" si="0"/>
        <v>19</v>
      </c>
      <c r="D1469" s="54">
        <v>19</v>
      </c>
      <c r="E1469" s="26" t="s">
        <v>49</v>
      </c>
      <c r="F1469" s="17" t="s">
        <v>17</v>
      </c>
    </row>
    <row r="1470" spans="1:6" ht="15.6" x14ac:dyDescent="0.3">
      <c r="A1470" s="31">
        <v>43759</v>
      </c>
      <c r="B1470" s="54">
        <v>17</v>
      </c>
      <c r="C1470" s="54">
        <f t="shared" si="0"/>
        <v>17</v>
      </c>
      <c r="D1470" s="54">
        <v>17</v>
      </c>
      <c r="E1470" s="26" t="s">
        <v>49</v>
      </c>
      <c r="F1470" s="17" t="s">
        <v>17</v>
      </c>
    </row>
    <row r="1471" spans="1:6" ht="15.6" x14ac:dyDescent="0.3">
      <c r="A1471" s="76">
        <v>43843</v>
      </c>
      <c r="B1471" s="54">
        <v>19</v>
      </c>
      <c r="C1471" s="54">
        <f t="shared" si="0"/>
        <v>19</v>
      </c>
      <c r="D1471" s="54">
        <v>19</v>
      </c>
      <c r="E1471" s="26" t="s">
        <v>49</v>
      </c>
      <c r="F1471" s="17" t="s">
        <v>17</v>
      </c>
    </row>
    <row r="1472" spans="1:6" ht="15.6" x14ac:dyDescent="0.3">
      <c r="A1472" s="76">
        <v>43843</v>
      </c>
      <c r="B1472" s="54">
        <v>21</v>
      </c>
      <c r="C1472" s="54">
        <f t="shared" si="0"/>
        <v>21</v>
      </c>
      <c r="D1472" s="54">
        <v>21</v>
      </c>
      <c r="E1472" s="26" t="s">
        <v>49</v>
      </c>
      <c r="F1472" s="17" t="s">
        <v>17</v>
      </c>
    </row>
    <row r="1473" spans="1:6" ht="15.6" x14ac:dyDescent="0.3">
      <c r="A1473" s="76">
        <v>43843</v>
      </c>
      <c r="B1473" s="54">
        <v>20</v>
      </c>
      <c r="C1473" s="54">
        <f t="shared" si="0"/>
        <v>20</v>
      </c>
      <c r="D1473" s="54">
        <v>20</v>
      </c>
      <c r="E1473" s="26" t="s">
        <v>49</v>
      </c>
      <c r="F1473" s="17" t="s">
        <v>17</v>
      </c>
    </row>
    <row r="1474" spans="1:6" ht="15.6" x14ac:dyDescent="0.3">
      <c r="A1474" s="76">
        <v>43843</v>
      </c>
      <c r="B1474" s="54">
        <v>11</v>
      </c>
      <c r="C1474" s="54">
        <f t="shared" si="0"/>
        <v>11</v>
      </c>
      <c r="D1474" s="54">
        <v>11</v>
      </c>
      <c r="E1474" s="26" t="s">
        <v>49</v>
      </c>
      <c r="F1474" s="17" t="s">
        <v>17</v>
      </c>
    </row>
    <row r="1475" spans="1:6" ht="15.6" x14ac:dyDescent="0.3">
      <c r="A1475" s="31">
        <v>44064</v>
      </c>
      <c r="B1475" s="55">
        <v>5</v>
      </c>
      <c r="C1475" s="55">
        <v>5</v>
      </c>
      <c r="D1475" s="55">
        <v>5</v>
      </c>
      <c r="E1475" s="26" t="s">
        <v>49</v>
      </c>
      <c r="F1475" s="17" t="s">
        <v>17</v>
      </c>
    </row>
    <row r="1476" spans="1:6" ht="15.6" x14ac:dyDescent="0.3">
      <c r="A1476" s="31">
        <v>44078</v>
      </c>
      <c r="B1476" s="55">
        <v>3</v>
      </c>
      <c r="C1476" s="55">
        <v>3</v>
      </c>
      <c r="D1476" s="55">
        <v>3</v>
      </c>
      <c r="E1476" s="26" t="s">
        <v>49</v>
      </c>
      <c r="F1476" s="17" t="s">
        <v>17</v>
      </c>
    </row>
    <row r="1477" spans="1:6" ht="15.6" x14ac:dyDescent="0.3">
      <c r="A1477" s="31">
        <v>43389</v>
      </c>
      <c r="B1477" s="24">
        <v>18</v>
      </c>
      <c r="C1477" s="24">
        <v>18</v>
      </c>
      <c r="D1477" s="24">
        <v>18</v>
      </c>
      <c r="E1477" s="26" t="s">
        <v>50</v>
      </c>
      <c r="F1477" t="s">
        <v>22</v>
      </c>
    </row>
    <row r="1478" spans="1:6" ht="15.6" x14ac:dyDescent="0.3">
      <c r="A1478" s="31">
        <v>43412</v>
      </c>
      <c r="B1478" s="24">
        <v>36</v>
      </c>
      <c r="C1478" s="24">
        <v>36</v>
      </c>
      <c r="D1478" s="24">
        <v>36</v>
      </c>
      <c r="E1478" s="26" t="s">
        <v>50</v>
      </c>
      <c r="F1478" t="s">
        <v>22</v>
      </c>
    </row>
    <row r="1479" spans="1:6" ht="15.6" x14ac:dyDescent="0.3">
      <c r="A1479" s="31">
        <v>43412</v>
      </c>
      <c r="B1479" s="24">
        <v>25</v>
      </c>
      <c r="C1479" s="24">
        <v>25</v>
      </c>
      <c r="D1479" s="24">
        <v>25</v>
      </c>
      <c r="E1479" s="26" t="s">
        <v>50</v>
      </c>
      <c r="F1479" t="s">
        <v>22</v>
      </c>
    </row>
    <row r="1480" spans="1:6" ht="15.6" x14ac:dyDescent="0.3">
      <c r="A1480" s="31">
        <v>43482</v>
      </c>
      <c r="B1480" s="24">
        <v>10</v>
      </c>
      <c r="C1480" s="24">
        <v>10</v>
      </c>
      <c r="D1480" s="24">
        <v>10</v>
      </c>
      <c r="E1480" s="26" t="s">
        <v>50</v>
      </c>
      <c r="F1480" t="s">
        <v>22</v>
      </c>
    </row>
    <row r="1481" spans="1:6" ht="15.6" x14ac:dyDescent="0.3">
      <c r="A1481" s="31">
        <v>43486</v>
      </c>
      <c r="B1481" s="24">
        <v>8</v>
      </c>
      <c r="C1481" s="24">
        <v>8</v>
      </c>
      <c r="D1481" s="24">
        <v>8</v>
      </c>
      <c r="E1481" s="26" t="s">
        <v>50</v>
      </c>
      <c r="F1481" t="s">
        <v>22</v>
      </c>
    </row>
    <row r="1482" spans="1:6" ht="15.6" x14ac:dyDescent="0.3">
      <c r="A1482" s="31">
        <v>43496</v>
      </c>
      <c r="B1482" s="24">
        <v>8</v>
      </c>
      <c r="C1482" s="24">
        <v>8</v>
      </c>
      <c r="D1482" s="24">
        <v>8</v>
      </c>
      <c r="E1482" s="26" t="s">
        <v>50</v>
      </c>
      <c r="F1482" t="s">
        <v>22</v>
      </c>
    </row>
    <row r="1483" spans="1:6" ht="15.6" x14ac:dyDescent="0.3">
      <c r="A1483" s="31">
        <v>43503</v>
      </c>
      <c r="B1483" s="24">
        <v>9</v>
      </c>
      <c r="C1483" s="24">
        <v>9</v>
      </c>
      <c r="D1483" s="24">
        <v>9</v>
      </c>
      <c r="E1483" s="26" t="s">
        <v>50</v>
      </c>
      <c r="F1483" t="s">
        <v>22</v>
      </c>
    </row>
    <row r="1484" spans="1:6" ht="15.6" x14ac:dyDescent="0.3">
      <c r="A1484" s="31">
        <v>43508</v>
      </c>
      <c r="B1484" s="24">
        <v>11</v>
      </c>
      <c r="C1484" s="24">
        <v>11</v>
      </c>
      <c r="D1484" s="24">
        <v>11</v>
      </c>
      <c r="E1484" s="26" t="s">
        <v>50</v>
      </c>
      <c r="F1484" t="s">
        <v>22</v>
      </c>
    </row>
    <row r="1485" spans="1:6" ht="15.6" x14ac:dyDescent="0.3">
      <c r="A1485" s="31">
        <v>43514</v>
      </c>
      <c r="B1485" s="24">
        <v>10</v>
      </c>
      <c r="C1485" s="24">
        <v>10</v>
      </c>
      <c r="D1485" s="24">
        <v>10</v>
      </c>
      <c r="E1485" s="26" t="s">
        <v>50</v>
      </c>
      <c r="F1485" t="s">
        <v>22</v>
      </c>
    </row>
    <row r="1486" spans="1:6" ht="15.6" x14ac:dyDescent="0.3">
      <c r="A1486" s="31">
        <v>43517</v>
      </c>
      <c r="B1486" s="24">
        <v>4</v>
      </c>
      <c r="C1486" s="24">
        <v>4</v>
      </c>
      <c r="D1486" s="24">
        <v>4</v>
      </c>
      <c r="E1486" s="26" t="s">
        <v>50</v>
      </c>
      <c r="F1486" t="s">
        <v>22</v>
      </c>
    </row>
    <row r="1487" spans="1:6" ht="15.6" x14ac:dyDescent="0.3">
      <c r="A1487" s="31">
        <v>43521</v>
      </c>
      <c r="B1487" s="24">
        <v>9</v>
      </c>
      <c r="C1487" s="24">
        <v>9</v>
      </c>
      <c r="D1487" s="24">
        <v>9</v>
      </c>
      <c r="E1487" s="26" t="s">
        <v>50</v>
      </c>
      <c r="F1487" t="s">
        <v>22</v>
      </c>
    </row>
    <row r="1488" spans="1:6" ht="15.6" x14ac:dyDescent="0.3">
      <c r="A1488" s="31">
        <v>43522</v>
      </c>
      <c r="B1488" s="24">
        <v>13</v>
      </c>
      <c r="C1488" s="24">
        <v>13</v>
      </c>
      <c r="D1488" s="24">
        <v>13</v>
      </c>
      <c r="E1488" s="26" t="s">
        <v>50</v>
      </c>
      <c r="F1488" t="s">
        <v>22</v>
      </c>
    </row>
    <row r="1489" spans="1:6" ht="15.6" x14ac:dyDescent="0.3">
      <c r="A1489" s="31">
        <v>43524</v>
      </c>
      <c r="B1489" s="24">
        <v>10</v>
      </c>
      <c r="C1489" s="24">
        <v>10</v>
      </c>
      <c r="D1489" s="24">
        <v>10</v>
      </c>
      <c r="E1489" s="26" t="s">
        <v>50</v>
      </c>
      <c r="F1489" t="s">
        <v>22</v>
      </c>
    </row>
    <row r="1490" spans="1:6" ht="15.6" x14ac:dyDescent="0.3">
      <c r="A1490" s="31">
        <v>43529</v>
      </c>
      <c r="B1490" s="24">
        <v>13</v>
      </c>
      <c r="C1490" s="24">
        <v>13</v>
      </c>
      <c r="D1490" s="24">
        <v>13</v>
      </c>
      <c r="E1490" s="26" t="s">
        <v>50</v>
      </c>
      <c r="F1490" t="s">
        <v>22</v>
      </c>
    </row>
    <row r="1491" spans="1:6" ht="15.6" x14ac:dyDescent="0.3">
      <c r="A1491" s="31">
        <v>43532</v>
      </c>
      <c r="B1491" s="24">
        <v>26</v>
      </c>
      <c r="C1491" s="24">
        <v>26</v>
      </c>
      <c r="D1491" s="24">
        <v>26</v>
      </c>
      <c r="E1491" s="26" t="s">
        <v>50</v>
      </c>
      <c r="F1491" t="s">
        <v>22</v>
      </c>
    </row>
    <row r="1492" spans="1:6" ht="15.6" x14ac:dyDescent="0.3">
      <c r="A1492" s="31">
        <v>43536</v>
      </c>
      <c r="B1492" s="24">
        <v>12</v>
      </c>
      <c r="C1492" s="24">
        <v>12</v>
      </c>
      <c r="D1492" s="24">
        <v>12</v>
      </c>
      <c r="E1492" s="26" t="s">
        <v>50</v>
      </c>
      <c r="F1492" t="s">
        <v>22</v>
      </c>
    </row>
    <row r="1493" spans="1:6" ht="15.6" x14ac:dyDescent="0.3">
      <c r="A1493" s="31">
        <v>43538</v>
      </c>
      <c r="B1493" s="24">
        <v>10</v>
      </c>
      <c r="C1493" s="24">
        <v>10</v>
      </c>
      <c r="D1493" s="24">
        <v>10</v>
      </c>
      <c r="E1493" s="26" t="s">
        <v>50</v>
      </c>
      <c r="F1493" t="s">
        <v>22</v>
      </c>
    </row>
    <row r="1494" spans="1:6" ht="15.6" x14ac:dyDescent="0.3">
      <c r="A1494" s="31">
        <v>43563</v>
      </c>
      <c r="B1494" s="24">
        <v>9</v>
      </c>
      <c r="C1494" s="24">
        <v>9</v>
      </c>
      <c r="D1494" s="24">
        <v>9</v>
      </c>
      <c r="E1494" s="26" t="s">
        <v>50</v>
      </c>
      <c r="F1494" t="s">
        <v>22</v>
      </c>
    </row>
    <row r="1495" spans="1:6" ht="15.6" x14ac:dyDescent="0.3">
      <c r="A1495" s="31">
        <v>43565</v>
      </c>
      <c r="B1495" s="24">
        <v>18</v>
      </c>
      <c r="C1495" s="24">
        <v>18</v>
      </c>
      <c r="D1495" s="24">
        <v>18</v>
      </c>
      <c r="E1495" s="26" t="s">
        <v>50</v>
      </c>
      <c r="F1495" t="s">
        <v>22</v>
      </c>
    </row>
    <row r="1496" spans="1:6" ht="15.6" x14ac:dyDescent="0.3">
      <c r="A1496" s="31">
        <v>43572</v>
      </c>
      <c r="B1496" s="24">
        <v>25</v>
      </c>
      <c r="C1496" s="24">
        <v>25</v>
      </c>
      <c r="D1496" s="24">
        <v>25</v>
      </c>
      <c r="E1496" s="26" t="s">
        <v>50</v>
      </c>
      <c r="F1496" t="s">
        <v>22</v>
      </c>
    </row>
    <row r="1497" spans="1:6" ht="15.6" x14ac:dyDescent="0.3">
      <c r="A1497" s="31">
        <v>43584</v>
      </c>
      <c r="B1497" s="24">
        <v>18</v>
      </c>
      <c r="C1497" s="24">
        <v>18</v>
      </c>
      <c r="D1497" s="24">
        <v>18</v>
      </c>
      <c r="E1497" s="26" t="s">
        <v>50</v>
      </c>
      <c r="F1497" t="s">
        <v>22</v>
      </c>
    </row>
    <row r="1498" spans="1:6" ht="15.6" x14ac:dyDescent="0.3">
      <c r="A1498" s="31">
        <v>43594</v>
      </c>
      <c r="B1498" s="24">
        <v>22</v>
      </c>
      <c r="C1498" s="24">
        <v>22</v>
      </c>
      <c r="D1498" s="24">
        <v>22</v>
      </c>
      <c r="E1498" s="26" t="s">
        <v>50</v>
      </c>
      <c r="F1498" t="s">
        <v>22</v>
      </c>
    </row>
    <row r="1499" spans="1:6" ht="15.6" x14ac:dyDescent="0.3">
      <c r="A1499" s="31">
        <v>43600</v>
      </c>
      <c r="B1499" s="24">
        <v>10</v>
      </c>
      <c r="C1499" s="24">
        <v>10</v>
      </c>
      <c r="D1499" s="24">
        <v>10</v>
      </c>
      <c r="E1499" s="26" t="s">
        <v>50</v>
      </c>
      <c r="F1499" t="s">
        <v>22</v>
      </c>
    </row>
    <row r="1500" spans="1:6" ht="15.6" x14ac:dyDescent="0.3">
      <c r="A1500" s="31">
        <v>43608</v>
      </c>
      <c r="B1500" s="24">
        <v>22</v>
      </c>
      <c r="C1500" s="24">
        <v>22</v>
      </c>
      <c r="D1500" s="24">
        <v>22</v>
      </c>
      <c r="E1500" s="26" t="s">
        <v>50</v>
      </c>
      <c r="F1500" t="s">
        <v>22</v>
      </c>
    </row>
    <row r="1501" spans="1:6" ht="15.6" x14ac:dyDescent="0.3">
      <c r="A1501" s="31">
        <v>43626</v>
      </c>
      <c r="B1501" s="24">
        <v>2</v>
      </c>
      <c r="C1501" s="24">
        <v>2</v>
      </c>
      <c r="D1501" s="24">
        <v>2</v>
      </c>
      <c r="E1501" s="26" t="s">
        <v>50</v>
      </c>
      <c r="F1501" t="s">
        <v>22</v>
      </c>
    </row>
    <row r="1502" spans="1:6" ht="15.6" x14ac:dyDescent="0.3">
      <c r="A1502" s="31">
        <v>43628</v>
      </c>
      <c r="B1502" s="24">
        <v>19</v>
      </c>
      <c r="C1502" s="24">
        <v>19</v>
      </c>
      <c r="D1502" s="24">
        <v>19</v>
      </c>
      <c r="E1502" s="26" t="s">
        <v>50</v>
      </c>
      <c r="F1502" t="s">
        <v>22</v>
      </c>
    </row>
    <row r="1503" spans="1:6" ht="15.6" x14ac:dyDescent="0.3">
      <c r="A1503" s="31">
        <v>43635</v>
      </c>
      <c r="B1503" s="24">
        <v>19</v>
      </c>
      <c r="C1503" s="24">
        <v>19</v>
      </c>
      <c r="D1503" s="24">
        <v>19</v>
      </c>
      <c r="E1503" s="26" t="s">
        <v>50</v>
      </c>
      <c r="F1503" t="s">
        <v>22</v>
      </c>
    </row>
    <row r="1504" spans="1:6" ht="15.6" x14ac:dyDescent="0.3">
      <c r="A1504" s="31">
        <v>43656</v>
      </c>
      <c r="B1504" s="24">
        <v>22</v>
      </c>
      <c r="C1504" s="24">
        <v>22</v>
      </c>
      <c r="D1504" s="24">
        <v>22</v>
      </c>
      <c r="E1504" s="26" t="s">
        <v>50</v>
      </c>
      <c r="F1504" t="s">
        <v>22</v>
      </c>
    </row>
    <row r="1505" spans="1:6" ht="15.6" x14ac:dyDescent="0.3">
      <c r="A1505" s="31">
        <v>43662</v>
      </c>
      <c r="B1505" s="24">
        <v>23</v>
      </c>
      <c r="C1505" s="24">
        <v>23</v>
      </c>
      <c r="D1505" s="24">
        <v>23</v>
      </c>
      <c r="E1505" s="26" t="s">
        <v>50</v>
      </c>
      <c r="F1505" t="s">
        <v>22</v>
      </c>
    </row>
    <row r="1506" spans="1:6" ht="15.6" x14ac:dyDescent="0.3">
      <c r="A1506" s="31">
        <v>43668</v>
      </c>
      <c r="B1506" s="24">
        <v>24</v>
      </c>
      <c r="C1506" s="24">
        <v>24</v>
      </c>
      <c r="D1506" s="24">
        <v>24</v>
      </c>
      <c r="E1506" s="26" t="s">
        <v>50</v>
      </c>
      <c r="F1506" t="s">
        <v>22</v>
      </c>
    </row>
    <row r="1507" spans="1:6" ht="15.6" x14ac:dyDescent="0.3">
      <c r="A1507" s="31">
        <v>43675</v>
      </c>
      <c r="B1507" s="24">
        <v>47</v>
      </c>
      <c r="C1507" s="24">
        <v>47</v>
      </c>
      <c r="D1507" s="24">
        <v>47</v>
      </c>
      <c r="E1507" s="26" t="s">
        <v>50</v>
      </c>
      <c r="F1507" t="s">
        <v>22</v>
      </c>
    </row>
    <row r="1508" spans="1:6" ht="15.6" x14ac:dyDescent="0.3">
      <c r="A1508" s="31">
        <v>43682</v>
      </c>
      <c r="B1508" s="24">
        <v>23</v>
      </c>
      <c r="C1508" s="24">
        <v>23</v>
      </c>
      <c r="D1508" s="24">
        <v>23</v>
      </c>
      <c r="E1508" s="26" t="s">
        <v>50</v>
      </c>
      <c r="F1508" t="s">
        <v>22</v>
      </c>
    </row>
    <row r="1509" spans="1:6" ht="15.6" x14ac:dyDescent="0.3">
      <c r="A1509" s="31">
        <v>43682</v>
      </c>
      <c r="B1509" s="24">
        <v>20</v>
      </c>
      <c r="C1509" s="24">
        <v>20</v>
      </c>
      <c r="D1509" s="24">
        <v>20</v>
      </c>
      <c r="E1509" s="26" t="s">
        <v>50</v>
      </c>
      <c r="F1509" t="s">
        <v>22</v>
      </c>
    </row>
    <row r="1510" spans="1:6" ht="15.6" x14ac:dyDescent="0.3">
      <c r="A1510" s="31">
        <v>43696</v>
      </c>
      <c r="B1510" s="24">
        <v>25</v>
      </c>
      <c r="C1510" s="24">
        <v>25</v>
      </c>
      <c r="D1510" s="24">
        <v>25</v>
      </c>
      <c r="E1510" s="26" t="s">
        <v>50</v>
      </c>
      <c r="F1510" t="s">
        <v>22</v>
      </c>
    </row>
    <row r="1511" spans="1:6" ht="15.6" x14ac:dyDescent="0.3">
      <c r="A1511" s="31">
        <v>43703</v>
      </c>
      <c r="B1511" s="24">
        <v>21</v>
      </c>
      <c r="C1511" s="24">
        <v>21</v>
      </c>
      <c r="D1511" s="24">
        <v>21</v>
      </c>
      <c r="E1511" s="26" t="s">
        <v>50</v>
      </c>
      <c r="F1511" t="s">
        <v>22</v>
      </c>
    </row>
    <row r="1512" spans="1:6" ht="15.6" x14ac:dyDescent="0.3">
      <c r="A1512" s="31">
        <v>43705</v>
      </c>
      <c r="B1512" s="24">
        <v>13</v>
      </c>
      <c r="C1512" s="24">
        <v>13</v>
      </c>
      <c r="D1512" s="24">
        <v>13</v>
      </c>
      <c r="E1512" s="26" t="s">
        <v>50</v>
      </c>
      <c r="F1512" t="s">
        <v>22</v>
      </c>
    </row>
    <row r="1513" spans="1:6" ht="15.6" x14ac:dyDescent="0.3">
      <c r="A1513" s="31">
        <v>43720</v>
      </c>
      <c r="B1513" s="24">
        <v>28</v>
      </c>
      <c r="C1513" s="24">
        <v>28</v>
      </c>
      <c r="D1513" s="24">
        <v>28</v>
      </c>
      <c r="E1513" s="26" t="s">
        <v>50</v>
      </c>
      <c r="F1513" t="s">
        <v>22</v>
      </c>
    </row>
    <row r="1514" spans="1:6" ht="15.6" x14ac:dyDescent="0.3">
      <c r="A1514" s="31">
        <v>43725</v>
      </c>
      <c r="B1514" s="24">
        <v>24</v>
      </c>
      <c r="C1514" s="24">
        <v>24</v>
      </c>
      <c r="D1514" s="24">
        <v>24</v>
      </c>
      <c r="E1514" s="26" t="s">
        <v>50</v>
      </c>
      <c r="F1514" t="s">
        <v>22</v>
      </c>
    </row>
    <row r="1515" spans="1:6" ht="15.6" x14ac:dyDescent="0.3">
      <c r="A1515" s="31">
        <v>43727</v>
      </c>
      <c r="B1515" s="24">
        <v>28</v>
      </c>
      <c r="C1515" s="24">
        <v>28</v>
      </c>
      <c r="D1515" s="24">
        <v>28</v>
      </c>
      <c r="E1515" s="26" t="s">
        <v>50</v>
      </c>
      <c r="F1515" t="s">
        <v>22</v>
      </c>
    </row>
    <row r="1516" spans="1:6" ht="15.6" x14ac:dyDescent="0.3">
      <c r="A1516" s="31">
        <v>43733</v>
      </c>
      <c r="B1516" s="24">
        <v>26</v>
      </c>
      <c r="C1516" s="24">
        <v>26</v>
      </c>
      <c r="D1516" s="24">
        <v>26</v>
      </c>
      <c r="E1516" s="26" t="s">
        <v>50</v>
      </c>
      <c r="F1516" t="s">
        <v>22</v>
      </c>
    </row>
    <row r="1517" spans="1:6" ht="15.6" x14ac:dyDescent="0.3">
      <c r="A1517" s="91">
        <v>43740</v>
      </c>
      <c r="B1517" s="24">
        <v>27</v>
      </c>
      <c r="C1517" s="24">
        <v>27</v>
      </c>
      <c r="D1517" s="24">
        <v>27</v>
      </c>
      <c r="E1517" s="26" t="s">
        <v>50</v>
      </c>
      <c r="F1517" t="s">
        <v>22</v>
      </c>
    </row>
    <row r="1518" spans="1:6" ht="15.6" x14ac:dyDescent="0.3">
      <c r="A1518" s="91">
        <v>43756</v>
      </c>
      <c r="B1518" s="24">
        <v>26</v>
      </c>
      <c r="C1518" s="24">
        <v>26</v>
      </c>
      <c r="D1518" s="24">
        <v>26</v>
      </c>
      <c r="E1518" s="26" t="s">
        <v>50</v>
      </c>
      <c r="F1518" t="s">
        <v>22</v>
      </c>
    </row>
    <row r="1519" spans="1:6" ht="15.6" x14ac:dyDescent="0.3">
      <c r="A1519" s="91">
        <v>43773</v>
      </c>
      <c r="B1519" s="24">
        <v>26</v>
      </c>
      <c r="C1519" s="24">
        <v>26</v>
      </c>
      <c r="D1519" s="24">
        <v>26</v>
      </c>
      <c r="E1519" s="26" t="s">
        <v>50</v>
      </c>
      <c r="F1519" t="s">
        <v>22</v>
      </c>
    </row>
    <row r="1520" spans="1:6" ht="15.6" x14ac:dyDescent="0.3">
      <c r="A1520" s="91">
        <v>43783</v>
      </c>
      <c r="B1520" s="24">
        <v>18</v>
      </c>
      <c r="C1520" s="24">
        <v>18</v>
      </c>
      <c r="D1520" s="24">
        <v>18</v>
      </c>
      <c r="E1520" s="26" t="s">
        <v>50</v>
      </c>
      <c r="F1520" t="s">
        <v>22</v>
      </c>
    </row>
    <row r="1521" spans="1:6" ht="15.6" x14ac:dyDescent="0.3">
      <c r="A1521" s="91">
        <v>43791</v>
      </c>
      <c r="B1521" s="24">
        <v>19</v>
      </c>
      <c r="C1521" s="24">
        <v>19</v>
      </c>
      <c r="D1521" s="24">
        <v>19</v>
      </c>
      <c r="E1521" s="26" t="s">
        <v>50</v>
      </c>
      <c r="F1521" t="s">
        <v>22</v>
      </c>
    </row>
    <row r="1522" spans="1:6" ht="15.6" x14ac:dyDescent="0.3">
      <c r="A1522" s="91">
        <v>43798</v>
      </c>
      <c r="B1522" s="24">
        <v>14</v>
      </c>
      <c r="C1522" s="24">
        <v>14</v>
      </c>
      <c r="D1522" s="24">
        <v>14</v>
      </c>
      <c r="E1522" s="26" t="s">
        <v>50</v>
      </c>
      <c r="F1522" t="s">
        <v>22</v>
      </c>
    </row>
    <row r="1523" spans="1:6" ht="15.6" x14ac:dyDescent="0.3">
      <c r="A1523" s="91">
        <v>43798</v>
      </c>
      <c r="B1523" s="24">
        <v>18</v>
      </c>
      <c r="C1523" s="24">
        <v>18</v>
      </c>
      <c r="D1523" s="24">
        <v>18</v>
      </c>
      <c r="E1523" s="26" t="s">
        <v>50</v>
      </c>
      <c r="F1523" t="s">
        <v>22</v>
      </c>
    </row>
    <row r="1524" spans="1:6" ht="15.6" x14ac:dyDescent="0.3">
      <c r="A1524" s="91">
        <v>43804</v>
      </c>
      <c r="B1524" s="24">
        <v>33</v>
      </c>
      <c r="C1524" s="24">
        <v>33</v>
      </c>
      <c r="D1524" s="24">
        <v>33</v>
      </c>
      <c r="E1524" s="26" t="s">
        <v>50</v>
      </c>
      <c r="F1524" t="s">
        <v>22</v>
      </c>
    </row>
    <row r="1525" spans="1:6" ht="15.6" x14ac:dyDescent="0.3">
      <c r="A1525" s="91">
        <v>43810</v>
      </c>
      <c r="B1525" s="24">
        <v>30</v>
      </c>
      <c r="C1525" s="24">
        <v>30</v>
      </c>
      <c r="D1525" s="24">
        <v>30</v>
      </c>
      <c r="E1525" s="26" t="s">
        <v>50</v>
      </c>
      <c r="F1525" t="s">
        <v>22</v>
      </c>
    </row>
    <row r="1526" spans="1:6" ht="15.6" x14ac:dyDescent="0.3">
      <c r="A1526" s="91">
        <v>43817</v>
      </c>
      <c r="B1526" s="24">
        <v>33</v>
      </c>
      <c r="C1526" s="24">
        <v>33</v>
      </c>
      <c r="D1526" s="24">
        <v>33</v>
      </c>
      <c r="E1526" s="26" t="s">
        <v>50</v>
      </c>
      <c r="F1526" t="s">
        <v>22</v>
      </c>
    </row>
    <row r="1527" spans="1:6" ht="15.6" x14ac:dyDescent="0.3">
      <c r="A1527" s="91">
        <v>43839</v>
      </c>
      <c r="B1527" s="24">
        <v>31</v>
      </c>
      <c r="C1527" s="24">
        <v>31</v>
      </c>
      <c r="D1527" s="24">
        <v>31</v>
      </c>
      <c r="E1527" s="26" t="s">
        <v>50</v>
      </c>
      <c r="F1527" t="s">
        <v>22</v>
      </c>
    </row>
    <row r="1528" spans="1:6" ht="15.6" x14ac:dyDescent="0.3">
      <c r="A1528" s="91">
        <v>43853</v>
      </c>
      <c r="B1528" s="24">
        <v>31</v>
      </c>
      <c r="C1528" s="24">
        <v>31</v>
      </c>
      <c r="D1528" s="24">
        <v>31</v>
      </c>
      <c r="E1528" s="26" t="s">
        <v>50</v>
      </c>
      <c r="F1528" t="s">
        <v>22</v>
      </c>
    </row>
    <row r="1529" spans="1:6" ht="15.6" x14ac:dyDescent="0.3">
      <c r="A1529" s="91">
        <v>43878</v>
      </c>
      <c r="B1529" s="24">
        <v>30</v>
      </c>
      <c r="C1529" s="24">
        <v>30</v>
      </c>
      <c r="D1529" s="24">
        <v>30</v>
      </c>
      <c r="E1529" s="26" t="s">
        <v>50</v>
      </c>
      <c r="F1529" t="s">
        <v>22</v>
      </c>
    </row>
    <row r="1530" spans="1:6" ht="15.6" x14ac:dyDescent="0.3">
      <c r="A1530" s="91">
        <v>43888</v>
      </c>
      <c r="B1530" s="24">
        <v>31</v>
      </c>
      <c r="C1530" s="24">
        <v>31</v>
      </c>
      <c r="D1530" s="24">
        <v>31</v>
      </c>
      <c r="E1530" s="26" t="s">
        <v>50</v>
      </c>
      <c r="F1530" t="s">
        <v>22</v>
      </c>
    </row>
    <row r="1531" spans="1:6" ht="15.6" x14ac:dyDescent="0.3">
      <c r="A1531" s="91">
        <v>43895</v>
      </c>
      <c r="B1531" s="24">
        <v>33</v>
      </c>
      <c r="C1531" s="24">
        <v>33</v>
      </c>
      <c r="D1531" s="24">
        <v>33</v>
      </c>
      <c r="E1531" s="26" t="s">
        <v>50</v>
      </c>
      <c r="F1531" t="s">
        <v>22</v>
      </c>
    </row>
    <row r="1532" spans="1:6" ht="15.6" x14ac:dyDescent="0.3">
      <c r="A1532" s="91">
        <v>43900</v>
      </c>
      <c r="B1532" s="24">
        <v>31</v>
      </c>
      <c r="C1532" s="24">
        <v>31</v>
      </c>
      <c r="D1532" s="24">
        <v>31</v>
      </c>
      <c r="E1532" s="26" t="s">
        <v>50</v>
      </c>
      <c r="F1532" t="s">
        <v>22</v>
      </c>
    </row>
    <row r="1533" spans="1:6" ht="15.6" x14ac:dyDescent="0.3">
      <c r="A1533" s="91">
        <v>43907</v>
      </c>
      <c r="B1533" s="24">
        <v>27</v>
      </c>
      <c r="C1533" s="24">
        <v>27</v>
      </c>
      <c r="D1533" s="24">
        <v>27</v>
      </c>
      <c r="E1533" s="26" t="s">
        <v>50</v>
      </c>
      <c r="F1533" t="s">
        <v>22</v>
      </c>
    </row>
    <row r="1534" spans="1:6" ht="15.6" x14ac:dyDescent="0.3">
      <c r="A1534" s="91">
        <v>43915</v>
      </c>
      <c r="B1534" s="24">
        <v>30</v>
      </c>
      <c r="C1534" s="24">
        <v>30</v>
      </c>
      <c r="D1534" s="24">
        <v>30</v>
      </c>
      <c r="E1534" s="26" t="s">
        <v>50</v>
      </c>
      <c r="F1534" t="s">
        <v>22</v>
      </c>
    </row>
    <row r="1535" spans="1:6" ht="15.6" x14ac:dyDescent="0.3">
      <c r="A1535" s="91">
        <v>43927</v>
      </c>
      <c r="B1535" s="53">
        <v>30</v>
      </c>
      <c r="C1535" s="53">
        <v>30</v>
      </c>
      <c r="D1535" s="24">
        <v>30</v>
      </c>
      <c r="E1535" s="26" t="s">
        <v>50</v>
      </c>
      <c r="F1535" t="s">
        <v>22</v>
      </c>
    </row>
    <row r="1536" spans="1:6" ht="15.6" x14ac:dyDescent="0.3">
      <c r="A1536" s="91">
        <v>43985</v>
      </c>
      <c r="B1536" s="24">
        <v>28</v>
      </c>
      <c r="C1536" s="24">
        <v>28</v>
      </c>
      <c r="D1536" s="24">
        <v>28</v>
      </c>
      <c r="E1536" s="26" t="s">
        <v>50</v>
      </c>
      <c r="F1536" t="s">
        <v>22</v>
      </c>
    </row>
    <row r="1537" spans="1:6" ht="15.6" x14ac:dyDescent="0.3">
      <c r="A1537" s="91">
        <v>43985</v>
      </c>
      <c r="B1537" s="24">
        <v>30</v>
      </c>
      <c r="C1537" s="24">
        <v>30</v>
      </c>
      <c r="D1537" s="24">
        <v>30</v>
      </c>
      <c r="E1537" s="26" t="s">
        <v>50</v>
      </c>
      <c r="F1537" t="s">
        <v>22</v>
      </c>
    </row>
    <row r="1538" spans="1:6" ht="15.6" x14ac:dyDescent="0.3">
      <c r="A1538" s="91">
        <v>43991</v>
      </c>
      <c r="B1538" s="24">
        <v>29</v>
      </c>
      <c r="C1538" s="24">
        <v>29</v>
      </c>
      <c r="D1538" s="53">
        <v>29</v>
      </c>
      <c r="E1538" s="26" t="s">
        <v>50</v>
      </c>
      <c r="F1538" t="s">
        <v>22</v>
      </c>
    </row>
    <row r="1539" spans="1:6" ht="15.6" x14ac:dyDescent="0.3">
      <c r="A1539" s="91">
        <v>43997</v>
      </c>
      <c r="B1539" s="24">
        <v>29</v>
      </c>
      <c r="C1539" s="24">
        <v>29</v>
      </c>
      <c r="D1539" s="24">
        <v>29</v>
      </c>
      <c r="E1539" s="26" t="s">
        <v>50</v>
      </c>
      <c r="F1539" t="s">
        <v>22</v>
      </c>
    </row>
    <row r="1540" spans="1:6" ht="15.6" x14ac:dyDescent="0.3">
      <c r="A1540" s="91">
        <v>44001</v>
      </c>
      <c r="B1540" s="24">
        <v>26</v>
      </c>
      <c r="C1540" s="24">
        <v>26</v>
      </c>
      <c r="D1540" s="24">
        <v>26</v>
      </c>
      <c r="E1540" s="26" t="s">
        <v>50</v>
      </c>
      <c r="F1540" t="s">
        <v>22</v>
      </c>
    </row>
    <row r="1541" spans="1:6" ht="15.6" x14ac:dyDescent="0.3">
      <c r="A1541" s="91">
        <v>44005</v>
      </c>
      <c r="B1541" s="24">
        <v>30</v>
      </c>
      <c r="C1541" s="24">
        <v>30</v>
      </c>
      <c r="D1541" s="24">
        <v>30</v>
      </c>
      <c r="E1541" s="26" t="s">
        <v>50</v>
      </c>
      <c r="F1541" t="s">
        <v>22</v>
      </c>
    </row>
    <row r="1542" spans="1:6" ht="15.6" x14ac:dyDescent="0.3">
      <c r="A1542" s="91">
        <v>44005</v>
      </c>
      <c r="B1542" s="24">
        <v>26</v>
      </c>
      <c r="C1542" s="24">
        <v>26</v>
      </c>
      <c r="D1542" s="24">
        <v>26</v>
      </c>
      <c r="E1542" s="26" t="s">
        <v>50</v>
      </c>
      <c r="F1542" t="s">
        <v>22</v>
      </c>
    </row>
    <row r="1543" spans="1:6" ht="15.6" x14ac:dyDescent="0.3">
      <c r="A1543" s="91">
        <v>44006</v>
      </c>
      <c r="B1543" s="24">
        <v>29</v>
      </c>
      <c r="C1543" s="24">
        <v>28</v>
      </c>
      <c r="D1543" s="24">
        <v>29</v>
      </c>
      <c r="E1543" s="26" t="s">
        <v>50</v>
      </c>
      <c r="F1543" t="s">
        <v>22</v>
      </c>
    </row>
    <row r="1544" spans="1:6" ht="15.6" x14ac:dyDescent="0.3">
      <c r="A1544" s="91">
        <v>44008</v>
      </c>
      <c r="B1544" s="24">
        <v>28</v>
      </c>
      <c r="C1544" s="24">
        <v>28</v>
      </c>
      <c r="D1544" s="24">
        <v>28</v>
      </c>
      <c r="E1544" s="26" t="s">
        <v>50</v>
      </c>
      <c r="F1544" t="s">
        <v>22</v>
      </c>
    </row>
    <row r="1545" spans="1:6" ht="15.6" x14ac:dyDescent="0.3">
      <c r="A1545" s="91">
        <v>44011</v>
      </c>
      <c r="B1545" s="24">
        <v>31</v>
      </c>
      <c r="C1545" s="24">
        <v>31</v>
      </c>
      <c r="D1545" s="24">
        <v>31</v>
      </c>
      <c r="E1545" s="26" t="s">
        <v>50</v>
      </c>
      <c r="F1545" t="s">
        <v>22</v>
      </c>
    </row>
    <row r="1546" spans="1:6" ht="15.6" x14ac:dyDescent="0.3">
      <c r="A1546" s="91">
        <v>44011</v>
      </c>
      <c r="B1546" s="24">
        <v>30</v>
      </c>
      <c r="C1546" s="24">
        <v>30</v>
      </c>
      <c r="D1546" s="24">
        <v>30</v>
      </c>
      <c r="E1546" s="26" t="s">
        <v>50</v>
      </c>
      <c r="F1546" t="s">
        <v>22</v>
      </c>
    </row>
    <row r="1547" spans="1:6" ht="15.6" x14ac:dyDescent="0.3">
      <c r="A1547" s="91">
        <v>44013</v>
      </c>
      <c r="B1547" s="24">
        <v>29</v>
      </c>
      <c r="C1547" s="24">
        <v>29</v>
      </c>
      <c r="D1547" s="24">
        <v>29</v>
      </c>
      <c r="E1547" s="26" t="s">
        <v>50</v>
      </c>
      <c r="F1547" t="s">
        <v>22</v>
      </c>
    </row>
    <row r="1548" spans="1:6" ht="15.6" x14ac:dyDescent="0.3">
      <c r="A1548" s="91">
        <v>44018</v>
      </c>
      <c r="B1548" s="24">
        <v>22</v>
      </c>
      <c r="C1548" s="24">
        <v>22</v>
      </c>
      <c r="D1548" s="24">
        <v>22</v>
      </c>
      <c r="E1548" s="26" t="s">
        <v>50</v>
      </c>
      <c r="F1548" t="s">
        <v>22</v>
      </c>
    </row>
    <row r="1549" spans="1:6" ht="15.6" x14ac:dyDescent="0.3">
      <c r="A1549" s="91">
        <v>44019</v>
      </c>
      <c r="B1549" s="24">
        <v>26</v>
      </c>
      <c r="C1549" s="24">
        <v>26</v>
      </c>
      <c r="D1549" s="56">
        <v>26</v>
      </c>
      <c r="E1549" s="26" t="s">
        <v>50</v>
      </c>
      <c r="F1549" t="s">
        <v>22</v>
      </c>
    </row>
    <row r="1550" spans="1:6" ht="15.6" x14ac:dyDescent="0.3">
      <c r="A1550" s="91">
        <v>44020</v>
      </c>
      <c r="B1550" s="24">
        <v>27</v>
      </c>
      <c r="C1550" s="24">
        <v>27</v>
      </c>
      <c r="D1550" s="24">
        <v>27</v>
      </c>
      <c r="E1550" s="26" t="s">
        <v>50</v>
      </c>
      <c r="F1550" t="s">
        <v>22</v>
      </c>
    </row>
    <row r="1551" spans="1:6" ht="15.6" x14ac:dyDescent="0.3">
      <c r="A1551" s="91">
        <v>44021</v>
      </c>
      <c r="B1551" s="24">
        <v>31</v>
      </c>
      <c r="C1551" s="24">
        <v>31</v>
      </c>
      <c r="D1551" s="24">
        <v>31</v>
      </c>
      <c r="E1551" s="26" t="s">
        <v>50</v>
      </c>
      <c r="F1551" t="s">
        <v>22</v>
      </c>
    </row>
    <row r="1552" spans="1:6" ht="15.6" x14ac:dyDescent="0.3">
      <c r="A1552" s="31">
        <v>44021</v>
      </c>
      <c r="B1552" s="24">
        <v>22</v>
      </c>
      <c r="C1552" s="24">
        <v>22</v>
      </c>
      <c r="D1552" s="24">
        <v>22</v>
      </c>
      <c r="E1552" s="26" t="s">
        <v>50</v>
      </c>
      <c r="F1552" t="s">
        <v>22</v>
      </c>
    </row>
    <row r="1553" spans="1:6" ht="15.6" x14ac:dyDescent="0.3">
      <c r="A1553" s="31">
        <v>44021</v>
      </c>
      <c r="B1553" s="24">
        <v>30</v>
      </c>
      <c r="C1553" s="24">
        <v>30</v>
      </c>
      <c r="D1553" s="24">
        <v>30</v>
      </c>
      <c r="E1553" s="26" t="s">
        <v>50</v>
      </c>
      <c r="F1553" t="s">
        <v>22</v>
      </c>
    </row>
    <row r="1554" spans="1:6" ht="15.6" x14ac:dyDescent="0.3">
      <c r="A1554" s="91">
        <v>44021</v>
      </c>
      <c r="B1554" s="24">
        <v>27</v>
      </c>
      <c r="C1554" s="24">
        <v>27</v>
      </c>
      <c r="D1554" s="24">
        <v>27</v>
      </c>
      <c r="E1554" s="26" t="s">
        <v>50</v>
      </c>
      <c r="F1554" t="s">
        <v>22</v>
      </c>
    </row>
    <row r="1555" spans="1:6" ht="15.6" x14ac:dyDescent="0.3">
      <c r="A1555" s="31">
        <v>44021</v>
      </c>
      <c r="B1555" s="24">
        <v>26</v>
      </c>
      <c r="C1555" s="24">
        <v>26</v>
      </c>
      <c r="D1555" s="24">
        <v>26</v>
      </c>
      <c r="E1555" s="26" t="s">
        <v>50</v>
      </c>
      <c r="F1555" t="s">
        <v>22</v>
      </c>
    </row>
    <row r="1556" spans="1:6" ht="15.6" x14ac:dyDescent="0.3">
      <c r="A1556" s="31">
        <v>44025</v>
      </c>
      <c r="B1556" s="24">
        <v>27</v>
      </c>
      <c r="C1556" s="24">
        <v>27</v>
      </c>
      <c r="D1556" s="24">
        <v>27</v>
      </c>
      <c r="E1556" s="26" t="s">
        <v>50</v>
      </c>
      <c r="F1556" t="s">
        <v>22</v>
      </c>
    </row>
    <row r="1557" spans="1:6" ht="15.6" x14ac:dyDescent="0.3">
      <c r="A1557" s="31">
        <v>44025</v>
      </c>
      <c r="B1557" s="24">
        <v>26</v>
      </c>
      <c r="C1557" s="24">
        <v>26</v>
      </c>
      <c r="D1557" s="24">
        <v>26</v>
      </c>
      <c r="E1557" s="26" t="s">
        <v>50</v>
      </c>
      <c r="F1557" t="s">
        <v>22</v>
      </c>
    </row>
    <row r="1558" spans="1:6" ht="15.6" x14ac:dyDescent="0.3">
      <c r="A1558" s="91">
        <v>44025</v>
      </c>
      <c r="B1558" s="24">
        <v>27</v>
      </c>
      <c r="C1558" s="24">
        <v>27</v>
      </c>
      <c r="D1558" s="24">
        <v>27</v>
      </c>
      <c r="E1558" s="26" t="s">
        <v>50</v>
      </c>
      <c r="F1558" t="s">
        <v>22</v>
      </c>
    </row>
    <row r="1559" spans="1:6" ht="15.6" x14ac:dyDescent="0.3">
      <c r="A1559" s="91">
        <v>44027</v>
      </c>
      <c r="B1559" s="24">
        <v>30</v>
      </c>
      <c r="C1559" s="24">
        <v>30</v>
      </c>
      <c r="D1559" s="24">
        <v>30</v>
      </c>
      <c r="E1559" s="26" t="s">
        <v>50</v>
      </c>
      <c r="F1559" t="s">
        <v>22</v>
      </c>
    </row>
    <row r="1560" spans="1:6" ht="15.6" x14ac:dyDescent="0.3">
      <c r="A1560" s="91">
        <v>44027</v>
      </c>
      <c r="B1560" s="24">
        <v>38</v>
      </c>
      <c r="C1560" s="24">
        <v>38</v>
      </c>
      <c r="D1560" s="24">
        <v>38</v>
      </c>
      <c r="E1560" s="26" t="s">
        <v>50</v>
      </c>
      <c r="F1560" t="s">
        <v>22</v>
      </c>
    </row>
    <row r="1561" spans="1:6" ht="15.6" x14ac:dyDescent="0.3">
      <c r="A1561" s="91">
        <v>44028</v>
      </c>
      <c r="B1561" s="24">
        <v>31</v>
      </c>
      <c r="C1561" s="24">
        <v>31</v>
      </c>
      <c r="D1561" s="24">
        <v>31</v>
      </c>
      <c r="E1561" s="26" t="s">
        <v>50</v>
      </c>
      <c r="F1561" t="s">
        <v>22</v>
      </c>
    </row>
    <row r="1562" spans="1:6" ht="15.6" x14ac:dyDescent="0.3">
      <c r="A1562" s="91">
        <v>44028</v>
      </c>
      <c r="B1562" s="24">
        <v>30</v>
      </c>
      <c r="C1562" s="24">
        <v>30</v>
      </c>
      <c r="D1562" s="24">
        <v>30</v>
      </c>
      <c r="E1562" s="26" t="s">
        <v>50</v>
      </c>
      <c r="F1562" t="s">
        <v>22</v>
      </c>
    </row>
    <row r="1563" spans="1:6" ht="15.6" x14ac:dyDescent="0.3">
      <c r="A1563" s="92">
        <v>44028</v>
      </c>
      <c r="B1563" s="24">
        <v>32</v>
      </c>
      <c r="C1563" s="24">
        <v>32</v>
      </c>
      <c r="D1563" s="24">
        <v>32</v>
      </c>
      <c r="E1563" s="26" t="s">
        <v>50</v>
      </c>
      <c r="F1563" t="s">
        <v>22</v>
      </c>
    </row>
    <row r="1564" spans="1:6" ht="15.6" x14ac:dyDescent="0.3">
      <c r="A1564" s="92">
        <v>44028</v>
      </c>
      <c r="B1564" s="24">
        <v>28</v>
      </c>
      <c r="C1564" s="48">
        <v>28</v>
      </c>
      <c r="D1564" s="24">
        <v>28</v>
      </c>
      <c r="E1564" s="26" t="s">
        <v>50</v>
      </c>
      <c r="F1564" t="s">
        <v>22</v>
      </c>
    </row>
    <row r="1565" spans="1:6" ht="15.6" x14ac:dyDescent="0.3">
      <c r="A1565" s="92">
        <v>44029</v>
      </c>
      <c r="B1565" s="24">
        <v>30</v>
      </c>
      <c r="C1565" s="48">
        <v>30</v>
      </c>
      <c r="D1565" s="24">
        <v>30</v>
      </c>
      <c r="E1565" s="26" t="s">
        <v>50</v>
      </c>
      <c r="F1565" t="s">
        <v>22</v>
      </c>
    </row>
    <row r="1566" spans="1:6" ht="15.6" x14ac:dyDescent="0.3">
      <c r="A1566" s="92">
        <v>44029</v>
      </c>
      <c r="B1566" s="24">
        <v>32</v>
      </c>
      <c r="C1566" s="48">
        <v>32</v>
      </c>
      <c r="D1566" s="24">
        <v>32</v>
      </c>
      <c r="E1566" s="26" t="s">
        <v>50</v>
      </c>
      <c r="F1566" t="s">
        <v>22</v>
      </c>
    </row>
    <row r="1567" spans="1:6" ht="15.6" x14ac:dyDescent="0.3">
      <c r="A1567" s="92">
        <v>44032</v>
      </c>
      <c r="B1567" s="24">
        <v>30</v>
      </c>
      <c r="C1567" s="48">
        <v>30</v>
      </c>
      <c r="D1567" s="24">
        <v>30</v>
      </c>
      <c r="E1567" s="26" t="s">
        <v>50</v>
      </c>
      <c r="F1567" t="s">
        <v>22</v>
      </c>
    </row>
    <row r="1568" spans="1:6" ht="15.6" x14ac:dyDescent="0.3">
      <c r="A1568" s="92">
        <v>44032</v>
      </c>
      <c r="B1568" s="24">
        <v>29</v>
      </c>
      <c r="C1568" s="48">
        <v>29</v>
      </c>
      <c r="D1568" s="24">
        <v>29</v>
      </c>
      <c r="E1568" s="26" t="s">
        <v>50</v>
      </c>
      <c r="F1568" t="s">
        <v>22</v>
      </c>
    </row>
    <row r="1569" spans="1:6" ht="15.6" x14ac:dyDescent="0.3">
      <c r="A1569" s="92">
        <v>44033</v>
      </c>
      <c r="B1569" s="24">
        <v>30</v>
      </c>
      <c r="C1569" s="48">
        <v>30</v>
      </c>
      <c r="D1569" s="24">
        <v>30</v>
      </c>
      <c r="E1569" s="26" t="s">
        <v>50</v>
      </c>
      <c r="F1569" t="s">
        <v>22</v>
      </c>
    </row>
    <row r="1570" spans="1:6" ht="15.6" x14ac:dyDescent="0.3">
      <c r="A1570" s="92">
        <v>44033</v>
      </c>
      <c r="B1570" s="24">
        <v>30</v>
      </c>
      <c r="C1570" s="48">
        <v>30</v>
      </c>
      <c r="D1570" s="24">
        <v>30</v>
      </c>
      <c r="E1570" s="26" t="s">
        <v>50</v>
      </c>
      <c r="F1570" t="s">
        <v>22</v>
      </c>
    </row>
    <row r="1571" spans="1:6" ht="15.6" x14ac:dyDescent="0.3">
      <c r="A1571" s="92">
        <v>44033</v>
      </c>
      <c r="B1571" s="24">
        <v>31</v>
      </c>
      <c r="C1571" s="48">
        <v>31</v>
      </c>
      <c r="D1571" s="24">
        <v>31</v>
      </c>
      <c r="E1571" s="26" t="s">
        <v>50</v>
      </c>
      <c r="F1571" t="s">
        <v>22</v>
      </c>
    </row>
    <row r="1572" spans="1:6" ht="15.6" x14ac:dyDescent="0.3">
      <c r="A1572" s="93">
        <v>44033</v>
      </c>
      <c r="B1572" s="24">
        <v>28</v>
      </c>
      <c r="C1572" s="48">
        <v>28</v>
      </c>
      <c r="D1572" s="24">
        <v>28</v>
      </c>
      <c r="E1572" s="26" t="s">
        <v>50</v>
      </c>
      <c r="F1572" t="s">
        <v>22</v>
      </c>
    </row>
    <row r="1573" spans="1:6" ht="15.6" x14ac:dyDescent="0.3">
      <c r="A1573" s="93">
        <v>44034</v>
      </c>
      <c r="B1573" s="24">
        <v>25</v>
      </c>
      <c r="C1573" s="24">
        <v>25</v>
      </c>
      <c r="D1573" s="24">
        <v>25</v>
      </c>
      <c r="E1573" s="26" t="s">
        <v>50</v>
      </c>
      <c r="F1573" t="s">
        <v>22</v>
      </c>
    </row>
    <row r="1574" spans="1:6" ht="15.6" x14ac:dyDescent="0.3">
      <c r="A1574" s="92">
        <v>44034</v>
      </c>
      <c r="B1574" s="24">
        <v>23</v>
      </c>
      <c r="C1574" s="24">
        <v>23</v>
      </c>
      <c r="D1574" s="24">
        <v>23</v>
      </c>
      <c r="E1574" s="26" t="s">
        <v>50</v>
      </c>
      <c r="F1574" t="s">
        <v>22</v>
      </c>
    </row>
    <row r="1575" spans="1:6" ht="15.6" x14ac:dyDescent="0.3">
      <c r="A1575" s="91">
        <v>44035</v>
      </c>
      <c r="B1575" s="24">
        <v>29</v>
      </c>
      <c r="C1575" s="24">
        <v>29</v>
      </c>
      <c r="D1575" s="24">
        <v>29</v>
      </c>
      <c r="E1575" s="26" t="s">
        <v>50</v>
      </c>
      <c r="F1575" t="s">
        <v>22</v>
      </c>
    </row>
    <row r="1576" spans="1:6" ht="15.6" x14ac:dyDescent="0.3">
      <c r="A1576" s="91">
        <v>44035</v>
      </c>
      <c r="B1576" s="24">
        <v>29</v>
      </c>
      <c r="C1576" s="24">
        <v>29</v>
      </c>
      <c r="D1576" s="24">
        <v>29</v>
      </c>
      <c r="E1576" s="26" t="s">
        <v>50</v>
      </c>
      <c r="F1576" t="s">
        <v>22</v>
      </c>
    </row>
    <row r="1577" spans="1:6" ht="15.6" x14ac:dyDescent="0.3">
      <c r="A1577" s="91">
        <v>44035</v>
      </c>
      <c r="B1577" s="24">
        <v>22</v>
      </c>
      <c r="C1577" s="24">
        <v>22</v>
      </c>
      <c r="D1577" s="24">
        <v>22</v>
      </c>
      <c r="E1577" s="26" t="s">
        <v>50</v>
      </c>
      <c r="F1577" t="s">
        <v>22</v>
      </c>
    </row>
    <row r="1578" spans="1:6" ht="15.6" x14ac:dyDescent="0.3">
      <c r="A1578" s="91">
        <v>44035</v>
      </c>
      <c r="B1578" s="24">
        <v>28</v>
      </c>
      <c r="C1578" s="24">
        <v>28</v>
      </c>
      <c r="D1578" s="24">
        <v>28</v>
      </c>
      <c r="E1578" s="26" t="s">
        <v>50</v>
      </c>
      <c r="F1578" t="s">
        <v>22</v>
      </c>
    </row>
    <row r="1579" spans="1:6" ht="15.6" x14ac:dyDescent="0.3">
      <c r="A1579" s="91">
        <v>44039</v>
      </c>
      <c r="B1579" s="24">
        <v>25</v>
      </c>
      <c r="C1579" s="24">
        <v>25</v>
      </c>
      <c r="D1579" s="24">
        <v>25</v>
      </c>
      <c r="E1579" s="26" t="s">
        <v>50</v>
      </c>
      <c r="F1579" t="s">
        <v>22</v>
      </c>
    </row>
    <row r="1580" spans="1:6" ht="15.6" x14ac:dyDescent="0.3">
      <c r="A1580" s="91">
        <v>44039</v>
      </c>
      <c r="B1580" s="24">
        <v>30</v>
      </c>
      <c r="C1580" s="24">
        <v>30</v>
      </c>
      <c r="D1580" s="24">
        <v>30</v>
      </c>
      <c r="E1580" s="26" t="s">
        <v>50</v>
      </c>
      <c r="F1580" t="s">
        <v>22</v>
      </c>
    </row>
    <row r="1581" spans="1:6" ht="15.6" x14ac:dyDescent="0.3">
      <c r="A1581" s="31">
        <v>44091</v>
      </c>
      <c r="B1581" s="24">
        <v>27</v>
      </c>
      <c r="C1581" s="24">
        <v>27</v>
      </c>
      <c r="D1581" s="24">
        <v>27</v>
      </c>
      <c r="E1581" s="26" t="s">
        <v>50</v>
      </c>
      <c r="F1581" t="s">
        <v>22</v>
      </c>
    </row>
    <row r="1582" spans="1:6" ht="15.6" x14ac:dyDescent="0.3">
      <c r="A1582" s="31">
        <v>44091</v>
      </c>
      <c r="B1582" s="24">
        <v>22</v>
      </c>
      <c r="C1582" s="24">
        <v>22</v>
      </c>
      <c r="D1582" s="24">
        <v>22</v>
      </c>
      <c r="E1582" s="26" t="s">
        <v>50</v>
      </c>
      <c r="F1582" t="s">
        <v>22</v>
      </c>
    </row>
    <row r="1583" spans="1:6" ht="15.6" x14ac:dyDescent="0.3">
      <c r="A1583" s="31">
        <v>44091</v>
      </c>
      <c r="B1583" s="24">
        <v>2</v>
      </c>
      <c r="C1583" s="24">
        <v>2</v>
      </c>
      <c r="D1583" s="24">
        <v>2</v>
      </c>
      <c r="E1583" s="26" t="s">
        <v>50</v>
      </c>
      <c r="F1583" t="s">
        <v>22</v>
      </c>
    </row>
    <row r="1584" spans="1:6" ht="15.6" x14ac:dyDescent="0.3">
      <c r="A1584" s="31">
        <v>44097</v>
      </c>
      <c r="B1584" s="24">
        <v>22</v>
      </c>
      <c r="C1584" s="24">
        <v>22</v>
      </c>
      <c r="D1584" s="24">
        <v>22</v>
      </c>
      <c r="E1584" s="26" t="s">
        <v>50</v>
      </c>
      <c r="F1584" t="s">
        <v>22</v>
      </c>
    </row>
    <row r="1585" spans="1:6" ht="15.6" x14ac:dyDescent="0.3">
      <c r="A1585" s="31">
        <v>44097</v>
      </c>
      <c r="B1585" s="24">
        <v>29</v>
      </c>
      <c r="C1585" s="24">
        <v>29</v>
      </c>
      <c r="D1585" s="24">
        <v>29</v>
      </c>
      <c r="E1585" s="26" t="s">
        <v>50</v>
      </c>
      <c r="F1585" t="s">
        <v>22</v>
      </c>
    </row>
    <row r="1586" spans="1:6" ht="15.6" x14ac:dyDescent="0.3">
      <c r="A1586" s="31">
        <v>44105</v>
      </c>
      <c r="B1586" s="24">
        <v>27</v>
      </c>
      <c r="C1586" s="24">
        <v>27</v>
      </c>
      <c r="D1586" s="24">
        <v>27</v>
      </c>
      <c r="E1586" s="26" t="s">
        <v>50</v>
      </c>
      <c r="F1586" t="s">
        <v>22</v>
      </c>
    </row>
    <row r="1587" spans="1:6" ht="15.6" x14ac:dyDescent="0.3">
      <c r="A1587" s="31">
        <v>44105</v>
      </c>
      <c r="B1587" s="24">
        <v>32</v>
      </c>
      <c r="C1587" s="24">
        <v>32</v>
      </c>
      <c r="D1587" s="24">
        <v>32</v>
      </c>
      <c r="E1587" s="26" t="s">
        <v>50</v>
      </c>
      <c r="F1587" t="s">
        <v>22</v>
      </c>
    </row>
    <row r="1588" spans="1:6" ht="15.6" x14ac:dyDescent="0.3">
      <c r="A1588" s="31">
        <v>44111</v>
      </c>
      <c r="B1588" s="24">
        <v>28</v>
      </c>
      <c r="C1588" s="48">
        <v>28</v>
      </c>
      <c r="D1588" s="24">
        <v>28</v>
      </c>
      <c r="E1588" s="26" t="s">
        <v>50</v>
      </c>
      <c r="F1588" t="s">
        <v>22</v>
      </c>
    </row>
    <row r="1589" spans="1:6" ht="15.6" x14ac:dyDescent="0.3">
      <c r="A1589" s="31">
        <v>44111</v>
      </c>
      <c r="B1589" s="24">
        <v>29</v>
      </c>
      <c r="C1589" s="48">
        <v>29</v>
      </c>
      <c r="D1589" s="24">
        <v>29</v>
      </c>
      <c r="E1589" s="26" t="s">
        <v>50</v>
      </c>
      <c r="F1589" t="s">
        <v>22</v>
      </c>
    </row>
    <row r="1590" spans="1:6" ht="15.6" x14ac:dyDescent="0.3">
      <c r="A1590" s="31">
        <v>44116</v>
      </c>
      <c r="B1590" s="24">
        <v>24</v>
      </c>
      <c r="C1590" s="48">
        <v>24</v>
      </c>
      <c r="D1590" s="24">
        <v>24</v>
      </c>
      <c r="E1590" s="26" t="s">
        <v>50</v>
      </c>
      <c r="F1590" t="s">
        <v>22</v>
      </c>
    </row>
    <row r="1591" spans="1:6" ht="15.6" x14ac:dyDescent="0.3">
      <c r="A1591" s="31">
        <v>44116</v>
      </c>
      <c r="B1591" s="24">
        <v>29</v>
      </c>
      <c r="C1591" s="48">
        <v>29</v>
      </c>
      <c r="D1591" s="24">
        <v>29</v>
      </c>
      <c r="E1591" s="26" t="s">
        <v>50</v>
      </c>
      <c r="F1591" t="s">
        <v>22</v>
      </c>
    </row>
    <row r="1592" spans="1:6" ht="15.6" x14ac:dyDescent="0.3">
      <c r="A1592" s="31">
        <v>44125</v>
      </c>
      <c r="B1592" s="24">
        <v>26</v>
      </c>
      <c r="C1592" s="48">
        <v>26</v>
      </c>
      <c r="D1592" s="24">
        <v>26</v>
      </c>
      <c r="E1592" s="26" t="s">
        <v>50</v>
      </c>
      <c r="F1592" t="s">
        <v>22</v>
      </c>
    </row>
    <row r="1593" spans="1:6" ht="15.6" x14ac:dyDescent="0.3">
      <c r="A1593" s="31">
        <v>44125</v>
      </c>
      <c r="B1593" s="24">
        <v>31</v>
      </c>
      <c r="C1593" s="48">
        <v>31</v>
      </c>
      <c r="D1593" s="24">
        <v>31</v>
      </c>
      <c r="E1593" s="26" t="s">
        <v>50</v>
      </c>
      <c r="F1593" t="s">
        <v>22</v>
      </c>
    </row>
    <row r="1594" spans="1:6" ht="15.6" x14ac:dyDescent="0.3">
      <c r="A1594" s="31">
        <v>44131</v>
      </c>
      <c r="B1594" s="24">
        <v>30</v>
      </c>
      <c r="C1594" s="48">
        <v>30</v>
      </c>
      <c r="D1594" s="24">
        <v>30</v>
      </c>
      <c r="E1594" s="26" t="s">
        <v>50</v>
      </c>
      <c r="F1594" t="s">
        <v>22</v>
      </c>
    </row>
    <row r="1595" spans="1:6" ht="15.6" x14ac:dyDescent="0.3">
      <c r="A1595" s="31">
        <v>44131</v>
      </c>
      <c r="B1595" s="24">
        <v>29</v>
      </c>
      <c r="C1595" s="48">
        <v>29</v>
      </c>
      <c r="D1595" s="24">
        <v>29</v>
      </c>
      <c r="E1595" s="26" t="s">
        <v>50</v>
      </c>
      <c r="F1595" t="s">
        <v>22</v>
      </c>
    </row>
    <row r="1596" spans="1:6" ht="15.6" x14ac:dyDescent="0.3">
      <c r="A1596" s="31">
        <v>44140</v>
      </c>
      <c r="B1596" s="24">
        <v>29</v>
      </c>
      <c r="C1596" s="48">
        <v>29</v>
      </c>
      <c r="D1596" s="24">
        <v>29</v>
      </c>
      <c r="E1596" s="26" t="s">
        <v>50</v>
      </c>
      <c r="F1596" t="s">
        <v>22</v>
      </c>
    </row>
    <row r="1597" spans="1:6" ht="15.6" x14ac:dyDescent="0.3">
      <c r="A1597" s="31">
        <v>44140</v>
      </c>
      <c r="B1597" s="24">
        <v>28</v>
      </c>
      <c r="C1597" s="48">
        <v>28</v>
      </c>
      <c r="D1597" s="24">
        <v>28</v>
      </c>
      <c r="E1597" s="26" t="s">
        <v>50</v>
      </c>
      <c r="F1597" t="s">
        <v>22</v>
      </c>
    </row>
    <row r="1598" spans="1:6" ht="15.6" x14ac:dyDescent="0.3">
      <c r="A1598" s="31">
        <v>44146</v>
      </c>
      <c r="B1598" s="24">
        <v>25</v>
      </c>
      <c r="C1598" s="48">
        <v>25</v>
      </c>
      <c r="D1598" s="24">
        <v>25</v>
      </c>
      <c r="E1598" s="26" t="s">
        <v>50</v>
      </c>
      <c r="F1598" t="s">
        <v>22</v>
      </c>
    </row>
    <row r="1599" spans="1:6" ht="15.6" x14ac:dyDescent="0.3">
      <c r="A1599" s="31">
        <v>44146</v>
      </c>
      <c r="B1599" s="24">
        <v>28</v>
      </c>
      <c r="C1599" s="94"/>
      <c r="D1599" s="24"/>
      <c r="E1599" s="26" t="s">
        <v>50</v>
      </c>
      <c r="F1599" t="s">
        <v>21</v>
      </c>
    </row>
    <row r="1600" spans="1:6" ht="15.6" x14ac:dyDescent="0.3">
      <c r="A1600" s="31">
        <v>44152</v>
      </c>
      <c r="B1600" s="24">
        <v>27</v>
      </c>
      <c r="C1600" s="94"/>
      <c r="D1600" s="24"/>
      <c r="E1600" s="26" t="s">
        <v>50</v>
      </c>
      <c r="F1600" t="s">
        <v>21</v>
      </c>
    </row>
    <row r="1601" spans="1:6" ht="15.6" x14ac:dyDescent="0.3">
      <c r="A1601" s="31">
        <v>44152</v>
      </c>
      <c r="B1601" s="24">
        <v>25</v>
      </c>
      <c r="C1601" s="94"/>
      <c r="D1601" s="24"/>
      <c r="E1601" s="26" t="s">
        <v>50</v>
      </c>
      <c r="F1601" t="s">
        <v>21</v>
      </c>
    </row>
    <row r="1602" spans="1:6" ht="15.6" x14ac:dyDescent="0.3">
      <c r="A1602" s="31">
        <v>44158</v>
      </c>
      <c r="B1602" s="24">
        <v>29</v>
      </c>
      <c r="C1602" s="94"/>
      <c r="D1602" s="24"/>
      <c r="E1602" s="26" t="s">
        <v>50</v>
      </c>
      <c r="F1602" t="s">
        <v>21</v>
      </c>
    </row>
    <row r="1603" spans="1:6" ht="15.6" x14ac:dyDescent="0.3">
      <c r="A1603" s="31">
        <v>44158</v>
      </c>
      <c r="B1603" s="24">
        <v>29</v>
      </c>
      <c r="C1603" s="94"/>
      <c r="D1603" s="24"/>
      <c r="E1603" s="26" t="s">
        <v>50</v>
      </c>
      <c r="F1603" t="s">
        <v>21</v>
      </c>
    </row>
    <row r="1604" spans="1:6" ht="15.6" x14ac:dyDescent="0.3">
      <c r="A1604" s="31">
        <v>44165</v>
      </c>
      <c r="B1604" s="24">
        <v>26</v>
      </c>
      <c r="C1604" s="94"/>
      <c r="D1604" s="24"/>
      <c r="E1604" s="26" t="s">
        <v>50</v>
      </c>
      <c r="F1604" t="s">
        <v>21</v>
      </c>
    </row>
    <row r="1605" spans="1:6" ht="15.6" x14ac:dyDescent="0.3">
      <c r="A1605" s="31">
        <v>44165</v>
      </c>
      <c r="B1605" s="24">
        <v>29</v>
      </c>
      <c r="C1605" s="94"/>
      <c r="D1605" s="24"/>
      <c r="E1605" s="26" t="s">
        <v>50</v>
      </c>
      <c r="F1605" t="s">
        <v>21</v>
      </c>
    </row>
    <row r="1606" spans="1:6" ht="15.6" x14ac:dyDescent="0.3">
      <c r="A1606" s="31">
        <v>44165</v>
      </c>
      <c r="B1606" s="24">
        <v>551</v>
      </c>
      <c r="C1606"/>
      <c r="D1606" s="24">
        <v>375</v>
      </c>
      <c r="E1606" s="26" t="s">
        <v>50</v>
      </c>
      <c r="F1606" t="s">
        <v>21</v>
      </c>
    </row>
    <row r="1607" spans="1:6" ht="15.6" x14ac:dyDescent="0.3">
      <c r="A1607" s="31">
        <v>44165</v>
      </c>
      <c r="C1607"/>
      <c r="D1607" s="24">
        <v>369</v>
      </c>
      <c r="E1607" s="26" t="s">
        <v>50</v>
      </c>
      <c r="F1607" t="s">
        <v>21</v>
      </c>
    </row>
    <row r="1608" spans="1:6" ht="15.6" x14ac:dyDescent="0.3">
      <c r="A1608" s="31">
        <v>43360</v>
      </c>
      <c r="B1608" s="24">
        <v>6</v>
      </c>
      <c r="C1608" s="24">
        <v>6</v>
      </c>
      <c r="D1608" s="24">
        <v>6</v>
      </c>
      <c r="E1608" s="26" t="s">
        <v>51</v>
      </c>
      <c r="F1608" s="17" t="s">
        <v>17</v>
      </c>
    </row>
    <row r="1609" spans="1:6" ht="15.6" x14ac:dyDescent="0.3">
      <c r="A1609" s="31">
        <v>43360</v>
      </c>
      <c r="B1609" s="24">
        <v>5</v>
      </c>
      <c r="C1609" s="24">
        <v>5</v>
      </c>
      <c r="D1609" s="24">
        <v>5</v>
      </c>
      <c r="E1609" s="26" t="s">
        <v>51</v>
      </c>
      <c r="F1609" s="17" t="s">
        <v>17</v>
      </c>
    </row>
    <row r="1610" spans="1:6" ht="15.6" x14ac:dyDescent="0.3">
      <c r="A1610" s="31">
        <v>43360</v>
      </c>
      <c r="B1610" s="24">
        <v>4</v>
      </c>
      <c r="C1610" s="24">
        <v>4</v>
      </c>
      <c r="D1610" s="24">
        <v>4</v>
      </c>
      <c r="E1610" s="26" t="s">
        <v>51</v>
      </c>
      <c r="F1610" s="17" t="s">
        <v>17</v>
      </c>
    </row>
    <row r="1611" spans="1:6" ht="15.6" x14ac:dyDescent="0.3">
      <c r="A1611" s="31">
        <v>43360</v>
      </c>
      <c r="B1611" s="24">
        <v>5</v>
      </c>
      <c r="C1611" s="24">
        <v>5</v>
      </c>
      <c r="D1611" s="24">
        <v>5</v>
      </c>
      <c r="E1611" s="26" t="s">
        <v>51</v>
      </c>
      <c r="F1611" s="17" t="s">
        <v>17</v>
      </c>
    </row>
    <row r="1612" spans="1:6" ht="15.6" x14ac:dyDescent="0.3">
      <c r="A1612" s="31">
        <v>43360</v>
      </c>
      <c r="B1612" s="24">
        <v>5</v>
      </c>
      <c r="C1612" s="24">
        <v>5</v>
      </c>
      <c r="D1612" s="24">
        <v>5</v>
      </c>
      <c r="E1612" s="26" t="s">
        <v>51</v>
      </c>
      <c r="F1612" s="17" t="s">
        <v>17</v>
      </c>
    </row>
    <row r="1613" spans="1:6" ht="15.6" x14ac:dyDescent="0.3">
      <c r="A1613" s="31">
        <v>43460</v>
      </c>
      <c r="B1613" s="24">
        <v>6</v>
      </c>
      <c r="C1613" s="24">
        <v>6</v>
      </c>
      <c r="D1613" s="24">
        <v>6</v>
      </c>
      <c r="E1613" s="26" t="s">
        <v>51</v>
      </c>
      <c r="F1613" s="17" t="s">
        <v>17</v>
      </c>
    </row>
    <row r="1614" spans="1:6" ht="15.6" x14ac:dyDescent="0.3">
      <c r="A1614" s="31">
        <v>43460</v>
      </c>
      <c r="B1614" s="24">
        <v>4</v>
      </c>
      <c r="C1614" s="24">
        <v>4</v>
      </c>
      <c r="D1614" s="24">
        <v>4</v>
      </c>
      <c r="E1614" s="26" t="s">
        <v>51</v>
      </c>
      <c r="F1614" s="17" t="s">
        <v>17</v>
      </c>
    </row>
    <row r="1615" spans="1:6" ht="15.6" x14ac:dyDescent="0.3">
      <c r="A1615" s="31">
        <v>43460</v>
      </c>
      <c r="B1615" s="24">
        <v>4</v>
      </c>
      <c r="C1615" s="24">
        <v>4</v>
      </c>
      <c r="D1615" s="24">
        <v>4</v>
      </c>
      <c r="E1615" s="26" t="s">
        <v>51</v>
      </c>
      <c r="F1615" s="17" t="s">
        <v>17</v>
      </c>
    </row>
    <row r="1616" spans="1:6" ht="15.6" x14ac:dyDescent="0.3">
      <c r="A1616" s="31">
        <v>43460</v>
      </c>
      <c r="B1616" s="24">
        <v>3</v>
      </c>
      <c r="C1616" s="24">
        <v>3</v>
      </c>
      <c r="D1616" s="24">
        <v>3</v>
      </c>
      <c r="E1616" s="26" t="s">
        <v>51</v>
      </c>
      <c r="F1616" s="17" t="s">
        <v>17</v>
      </c>
    </row>
    <row r="1617" spans="1:6" ht="15.6" x14ac:dyDescent="0.3">
      <c r="A1617" s="31">
        <v>43460</v>
      </c>
      <c r="B1617" s="24">
        <v>5</v>
      </c>
      <c r="C1617" s="24">
        <v>5</v>
      </c>
      <c r="D1617" s="24">
        <v>5</v>
      </c>
      <c r="E1617" s="26" t="s">
        <v>51</v>
      </c>
      <c r="F1617" s="17" t="s">
        <v>17</v>
      </c>
    </row>
    <row r="1618" spans="1:6" ht="15.6" x14ac:dyDescent="0.3">
      <c r="A1618" s="31">
        <v>43474</v>
      </c>
      <c r="B1618" s="24">
        <v>5</v>
      </c>
      <c r="C1618" s="24">
        <v>5</v>
      </c>
      <c r="D1618" s="24">
        <v>5</v>
      </c>
      <c r="E1618" s="26" t="s">
        <v>51</v>
      </c>
      <c r="F1618" s="17" t="s">
        <v>17</v>
      </c>
    </row>
    <row r="1619" spans="1:6" ht="15.6" x14ac:dyDescent="0.3">
      <c r="A1619" s="31">
        <v>43474</v>
      </c>
      <c r="B1619" s="24">
        <v>6</v>
      </c>
      <c r="C1619" s="24">
        <v>6</v>
      </c>
      <c r="D1619" s="24">
        <v>6</v>
      </c>
      <c r="E1619" s="26" t="s">
        <v>51</v>
      </c>
      <c r="F1619" s="17" t="s">
        <v>17</v>
      </c>
    </row>
    <row r="1620" spans="1:6" ht="15.6" x14ac:dyDescent="0.3">
      <c r="A1620" s="31">
        <v>43474</v>
      </c>
      <c r="B1620" s="24">
        <v>8</v>
      </c>
      <c r="C1620" s="24">
        <v>8</v>
      </c>
      <c r="D1620" s="24">
        <v>8</v>
      </c>
      <c r="E1620" s="26" t="s">
        <v>51</v>
      </c>
      <c r="F1620" s="17" t="s">
        <v>17</v>
      </c>
    </row>
    <row r="1621" spans="1:6" ht="15.6" x14ac:dyDescent="0.3">
      <c r="A1621" s="31">
        <v>43474</v>
      </c>
      <c r="B1621" s="24">
        <v>9</v>
      </c>
      <c r="C1621" s="24">
        <v>9</v>
      </c>
      <c r="D1621" s="24">
        <v>9</v>
      </c>
      <c r="E1621" s="26" t="s">
        <v>51</v>
      </c>
      <c r="F1621" s="17" t="s">
        <v>17</v>
      </c>
    </row>
    <row r="1622" spans="1:6" ht="15.6" x14ac:dyDescent="0.3">
      <c r="A1622" s="31">
        <v>43474</v>
      </c>
      <c r="B1622" s="24">
        <v>10</v>
      </c>
      <c r="C1622" s="24">
        <v>10</v>
      </c>
      <c r="D1622" s="24">
        <v>10</v>
      </c>
      <c r="E1622" s="26" t="s">
        <v>51</v>
      </c>
      <c r="F1622" s="17" t="s">
        <v>17</v>
      </c>
    </row>
    <row r="1623" spans="1:6" ht="15.6" x14ac:dyDescent="0.3">
      <c r="A1623" s="31">
        <v>43496</v>
      </c>
      <c r="B1623" s="24">
        <v>8</v>
      </c>
      <c r="C1623" s="24">
        <v>8</v>
      </c>
      <c r="D1623" s="24">
        <v>8</v>
      </c>
      <c r="E1623" s="26" t="s">
        <v>51</v>
      </c>
      <c r="F1623" s="17" t="s">
        <v>17</v>
      </c>
    </row>
    <row r="1624" spans="1:6" ht="15.6" x14ac:dyDescent="0.3">
      <c r="A1624" s="31">
        <v>43496</v>
      </c>
      <c r="B1624" s="24">
        <v>8</v>
      </c>
      <c r="C1624" s="24">
        <v>8</v>
      </c>
      <c r="D1624" s="24">
        <v>8</v>
      </c>
      <c r="E1624" s="26" t="s">
        <v>51</v>
      </c>
      <c r="F1624" s="17" t="s">
        <v>17</v>
      </c>
    </row>
    <row r="1625" spans="1:6" ht="15.6" x14ac:dyDescent="0.3">
      <c r="A1625" s="31">
        <v>43496</v>
      </c>
      <c r="B1625" s="24">
        <v>10</v>
      </c>
      <c r="C1625" s="24">
        <v>10</v>
      </c>
      <c r="D1625" s="24">
        <v>10</v>
      </c>
      <c r="E1625" s="26" t="s">
        <v>51</v>
      </c>
      <c r="F1625" s="17" t="s">
        <v>17</v>
      </c>
    </row>
    <row r="1626" spans="1:6" ht="15.6" x14ac:dyDescent="0.3">
      <c r="A1626" s="31">
        <v>43496</v>
      </c>
      <c r="B1626" s="24">
        <v>9</v>
      </c>
      <c r="C1626" s="24">
        <v>9</v>
      </c>
      <c r="D1626" s="24">
        <v>9</v>
      </c>
      <c r="E1626" s="26" t="s">
        <v>51</v>
      </c>
      <c r="F1626" s="17" t="s">
        <v>17</v>
      </c>
    </row>
    <row r="1627" spans="1:6" ht="15.6" x14ac:dyDescent="0.3">
      <c r="A1627" s="31">
        <v>43496</v>
      </c>
      <c r="B1627" s="24">
        <v>9</v>
      </c>
      <c r="C1627" s="24">
        <v>9</v>
      </c>
      <c r="D1627" s="24">
        <v>9</v>
      </c>
      <c r="E1627" s="26" t="s">
        <v>51</v>
      </c>
      <c r="F1627" s="17" t="s">
        <v>17</v>
      </c>
    </row>
    <row r="1628" spans="1:6" ht="15.6" x14ac:dyDescent="0.3">
      <c r="A1628" s="31">
        <v>43516</v>
      </c>
      <c r="B1628" s="24">
        <v>11</v>
      </c>
      <c r="C1628" s="24">
        <v>11</v>
      </c>
      <c r="D1628" s="24">
        <v>11</v>
      </c>
      <c r="E1628" s="26" t="s">
        <v>51</v>
      </c>
      <c r="F1628" s="17" t="s">
        <v>17</v>
      </c>
    </row>
    <row r="1629" spans="1:6" ht="15.6" x14ac:dyDescent="0.3">
      <c r="A1629" s="31">
        <v>43516</v>
      </c>
      <c r="B1629" s="24">
        <v>11</v>
      </c>
      <c r="C1629" s="24">
        <v>11</v>
      </c>
      <c r="D1629" s="24">
        <v>11</v>
      </c>
      <c r="E1629" s="26" t="s">
        <v>51</v>
      </c>
      <c r="F1629" s="17" t="s">
        <v>17</v>
      </c>
    </row>
    <row r="1630" spans="1:6" ht="15.6" x14ac:dyDescent="0.3">
      <c r="A1630" s="31">
        <v>43516</v>
      </c>
      <c r="B1630" s="24">
        <v>12</v>
      </c>
      <c r="C1630" s="24">
        <v>12</v>
      </c>
      <c r="D1630" s="24">
        <v>12</v>
      </c>
      <c r="E1630" s="26" t="s">
        <v>51</v>
      </c>
      <c r="F1630" s="17" t="s">
        <v>17</v>
      </c>
    </row>
    <row r="1631" spans="1:6" ht="15.6" x14ac:dyDescent="0.3">
      <c r="A1631" s="31">
        <v>43516</v>
      </c>
      <c r="B1631" s="24">
        <v>10</v>
      </c>
      <c r="C1631" s="24">
        <v>10</v>
      </c>
      <c r="D1631" s="24">
        <v>10</v>
      </c>
      <c r="E1631" s="26" t="s">
        <v>51</v>
      </c>
      <c r="F1631" s="17" t="s">
        <v>17</v>
      </c>
    </row>
    <row r="1632" spans="1:6" ht="15.6" x14ac:dyDescent="0.3">
      <c r="A1632" s="31">
        <v>43516</v>
      </c>
      <c r="B1632" s="24">
        <v>11</v>
      </c>
      <c r="C1632" s="24">
        <v>11</v>
      </c>
      <c r="D1632" s="24">
        <v>11</v>
      </c>
      <c r="E1632" s="26" t="s">
        <v>51</v>
      </c>
      <c r="F1632" s="17" t="s">
        <v>17</v>
      </c>
    </row>
    <row r="1633" spans="1:6" ht="15.6" x14ac:dyDescent="0.3">
      <c r="A1633" s="31">
        <v>43530</v>
      </c>
      <c r="B1633" s="24">
        <v>12</v>
      </c>
      <c r="C1633" s="24">
        <v>12</v>
      </c>
      <c r="D1633" s="24">
        <v>12</v>
      </c>
      <c r="E1633" s="26" t="s">
        <v>51</v>
      </c>
      <c r="F1633" s="17" t="s">
        <v>17</v>
      </c>
    </row>
    <row r="1634" spans="1:6" ht="15.6" x14ac:dyDescent="0.3">
      <c r="A1634" s="31">
        <v>43530</v>
      </c>
      <c r="B1634" s="24">
        <v>13</v>
      </c>
      <c r="C1634" s="24">
        <v>13</v>
      </c>
      <c r="D1634" s="24">
        <v>13</v>
      </c>
      <c r="E1634" s="26" t="s">
        <v>51</v>
      </c>
      <c r="F1634" s="17" t="s">
        <v>17</v>
      </c>
    </row>
    <row r="1635" spans="1:6" ht="15.6" x14ac:dyDescent="0.3">
      <c r="A1635" s="31">
        <v>43530</v>
      </c>
      <c r="B1635" s="24">
        <v>13</v>
      </c>
      <c r="C1635" s="24">
        <v>13</v>
      </c>
      <c r="D1635" s="24">
        <v>13</v>
      </c>
      <c r="E1635" s="26" t="s">
        <v>51</v>
      </c>
      <c r="F1635" s="17" t="s">
        <v>17</v>
      </c>
    </row>
    <row r="1636" spans="1:6" ht="15.6" x14ac:dyDescent="0.3">
      <c r="A1636" s="31">
        <v>43530</v>
      </c>
      <c r="B1636" s="24">
        <v>16</v>
      </c>
      <c r="C1636" s="24">
        <v>16</v>
      </c>
      <c r="D1636" s="24">
        <v>16</v>
      </c>
      <c r="E1636" s="26" t="s">
        <v>51</v>
      </c>
      <c r="F1636" s="17" t="s">
        <v>17</v>
      </c>
    </row>
    <row r="1637" spans="1:6" ht="15.6" x14ac:dyDescent="0.3">
      <c r="A1637" s="31">
        <v>43530</v>
      </c>
      <c r="B1637" s="24">
        <v>14</v>
      </c>
      <c r="C1637" s="24">
        <v>14</v>
      </c>
      <c r="D1637" s="24">
        <v>14</v>
      </c>
      <c r="E1637" s="26" t="s">
        <v>51</v>
      </c>
      <c r="F1637" s="17" t="s">
        <v>17</v>
      </c>
    </row>
    <row r="1638" spans="1:6" ht="15.6" x14ac:dyDescent="0.3">
      <c r="A1638" s="31">
        <v>43537</v>
      </c>
      <c r="B1638" s="24">
        <v>13</v>
      </c>
      <c r="C1638" s="24">
        <v>13</v>
      </c>
      <c r="D1638" s="24">
        <v>13</v>
      </c>
      <c r="E1638" s="26" t="s">
        <v>51</v>
      </c>
      <c r="F1638" s="17" t="s">
        <v>17</v>
      </c>
    </row>
    <row r="1639" spans="1:6" ht="15.6" x14ac:dyDescent="0.3">
      <c r="A1639" s="31">
        <v>43537</v>
      </c>
      <c r="B1639" s="24">
        <v>15</v>
      </c>
      <c r="C1639" s="24">
        <v>15</v>
      </c>
      <c r="D1639" s="24">
        <v>15</v>
      </c>
      <c r="E1639" s="26" t="s">
        <v>51</v>
      </c>
      <c r="F1639" s="17" t="s">
        <v>17</v>
      </c>
    </row>
    <row r="1640" spans="1:6" ht="15.6" x14ac:dyDescent="0.3">
      <c r="A1640" s="31">
        <v>43537</v>
      </c>
      <c r="B1640" s="24">
        <v>17</v>
      </c>
      <c r="C1640" s="24">
        <v>17</v>
      </c>
      <c r="D1640" s="24">
        <v>17</v>
      </c>
      <c r="E1640" s="26" t="s">
        <v>51</v>
      </c>
      <c r="F1640" s="17" t="s">
        <v>17</v>
      </c>
    </row>
    <row r="1641" spans="1:6" ht="15.6" x14ac:dyDescent="0.3">
      <c r="A1641" s="31">
        <v>43537</v>
      </c>
      <c r="B1641" s="24">
        <v>14</v>
      </c>
      <c r="C1641" s="24">
        <v>14</v>
      </c>
      <c r="D1641" s="24">
        <v>14</v>
      </c>
      <c r="E1641" s="26" t="s">
        <v>51</v>
      </c>
      <c r="F1641" s="17" t="s">
        <v>17</v>
      </c>
    </row>
    <row r="1642" spans="1:6" ht="15.6" x14ac:dyDescent="0.3">
      <c r="A1642" s="31">
        <v>43537</v>
      </c>
      <c r="B1642" s="24">
        <v>16</v>
      </c>
      <c r="C1642" s="24">
        <v>16</v>
      </c>
      <c r="D1642" s="24">
        <v>16</v>
      </c>
      <c r="E1642" s="26" t="s">
        <v>51</v>
      </c>
      <c r="F1642" s="17" t="s">
        <v>17</v>
      </c>
    </row>
    <row r="1643" spans="1:6" ht="15.6" x14ac:dyDescent="0.3">
      <c r="A1643" s="31">
        <v>43551</v>
      </c>
      <c r="B1643" s="24">
        <v>17</v>
      </c>
      <c r="C1643" s="24">
        <v>17</v>
      </c>
      <c r="D1643" s="24">
        <v>17</v>
      </c>
      <c r="E1643" s="26" t="s">
        <v>51</v>
      </c>
      <c r="F1643" s="17" t="s">
        <v>17</v>
      </c>
    </row>
    <row r="1644" spans="1:6" ht="15.6" x14ac:dyDescent="0.3">
      <c r="A1644" s="31">
        <v>43551</v>
      </c>
      <c r="B1644" s="24">
        <v>17</v>
      </c>
      <c r="C1644" s="24">
        <v>17</v>
      </c>
      <c r="D1644" s="24">
        <v>17</v>
      </c>
      <c r="E1644" s="26" t="s">
        <v>51</v>
      </c>
      <c r="F1644" s="17" t="s">
        <v>17</v>
      </c>
    </row>
    <row r="1645" spans="1:6" ht="15.6" x14ac:dyDescent="0.3">
      <c r="A1645" s="31">
        <v>43551</v>
      </c>
      <c r="B1645" s="24">
        <v>15</v>
      </c>
      <c r="C1645" s="24">
        <v>15</v>
      </c>
      <c r="D1645" s="24">
        <v>15</v>
      </c>
      <c r="E1645" s="26" t="s">
        <v>51</v>
      </c>
      <c r="F1645" s="17" t="s">
        <v>17</v>
      </c>
    </row>
    <row r="1646" spans="1:6" ht="15.6" x14ac:dyDescent="0.3">
      <c r="A1646" s="31">
        <v>43551</v>
      </c>
      <c r="B1646" s="24">
        <v>19</v>
      </c>
      <c r="C1646" s="24">
        <v>19</v>
      </c>
      <c r="D1646" s="24">
        <v>19</v>
      </c>
      <c r="E1646" s="26" t="s">
        <v>51</v>
      </c>
      <c r="F1646" s="17" t="s">
        <v>17</v>
      </c>
    </row>
    <row r="1647" spans="1:6" ht="15.6" x14ac:dyDescent="0.3">
      <c r="A1647" s="31">
        <v>43551</v>
      </c>
      <c r="B1647" s="24">
        <v>21</v>
      </c>
      <c r="C1647" s="24">
        <v>21</v>
      </c>
      <c r="D1647" s="24">
        <v>21</v>
      </c>
      <c r="E1647" s="26" t="s">
        <v>51</v>
      </c>
      <c r="F1647" s="17" t="s">
        <v>17</v>
      </c>
    </row>
    <row r="1648" spans="1:6" ht="15.6" x14ac:dyDescent="0.3">
      <c r="A1648" s="31">
        <v>43565</v>
      </c>
      <c r="B1648" s="24">
        <v>15</v>
      </c>
      <c r="C1648" s="24">
        <v>15</v>
      </c>
      <c r="D1648" s="24">
        <v>15</v>
      </c>
      <c r="E1648" s="26" t="s">
        <v>51</v>
      </c>
      <c r="F1648" s="17" t="s">
        <v>17</v>
      </c>
    </row>
    <row r="1649" spans="1:6" ht="15.6" x14ac:dyDescent="0.3">
      <c r="A1649" s="31">
        <v>43565</v>
      </c>
      <c r="B1649" s="24">
        <v>15</v>
      </c>
      <c r="C1649" s="24">
        <v>15</v>
      </c>
      <c r="D1649" s="24">
        <v>15</v>
      </c>
      <c r="E1649" s="26" t="s">
        <v>51</v>
      </c>
      <c r="F1649" s="17" t="s">
        <v>17</v>
      </c>
    </row>
    <row r="1650" spans="1:6" ht="15.6" x14ac:dyDescent="0.3">
      <c r="A1650" s="31">
        <v>43565</v>
      </c>
      <c r="B1650" s="24">
        <v>15</v>
      </c>
      <c r="C1650" s="24">
        <v>15</v>
      </c>
      <c r="D1650" s="24">
        <v>15</v>
      </c>
      <c r="E1650" s="26" t="s">
        <v>51</v>
      </c>
      <c r="F1650" s="17" t="s">
        <v>17</v>
      </c>
    </row>
    <row r="1651" spans="1:6" ht="15.6" x14ac:dyDescent="0.3">
      <c r="A1651" s="31">
        <v>43565</v>
      </c>
      <c r="B1651" s="24">
        <v>16</v>
      </c>
      <c r="C1651" s="24">
        <v>16</v>
      </c>
      <c r="D1651" s="24">
        <v>16</v>
      </c>
      <c r="E1651" s="26" t="s">
        <v>51</v>
      </c>
      <c r="F1651" s="17" t="s">
        <v>17</v>
      </c>
    </row>
    <row r="1652" spans="1:6" ht="15.6" x14ac:dyDescent="0.3">
      <c r="A1652" s="31">
        <v>43565</v>
      </c>
      <c r="B1652" s="24">
        <v>15</v>
      </c>
      <c r="C1652" s="24">
        <v>15</v>
      </c>
      <c r="D1652" s="24">
        <v>15</v>
      </c>
      <c r="E1652" s="26" t="s">
        <v>51</v>
      </c>
      <c r="F1652" s="17" t="s">
        <v>17</v>
      </c>
    </row>
    <row r="1653" spans="1:6" ht="15.6" x14ac:dyDescent="0.3">
      <c r="A1653" s="31">
        <v>43579</v>
      </c>
      <c r="B1653" s="24">
        <v>14</v>
      </c>
      <c r="C1653" s="24">
        <v>14</v>
      </c>
      <c r="D1653" s="24">
        <v>14</v>
      </c>
      <c r="E1653" s="26" t="s">
        <v>51</v>
      </c>
      <c r="F1653" s="17" t="s">
        <v>17</v>
      </c>
    </row>
    <row r="1654" spans="1:6" ht="15.6" x14ac:dyDescent="0.3">
      <c r="A1654" s="31">
        <v>43579</v>
      </c>
      <c r="B1654" s="24">
        <v>17</v>
      </c>
      <c r="C1654" s="24">
        <v>17</v>
      </c>
      <c r="D1654" s="24">
        <v>17</v>
      </c>
      <c r="E1654" s="26" t="s">
        <v>51</v>
      </c>
      <c r="F1654" s="17" t="s">
        <v>17</v>
      </c>
    </row>
    <row r="1655" spans="1:6" ht="15.6" x14ac:dyDescent="0.3">
      <c r="A1655" s="31">
        <v>43579</v>
      </c>
      <c r="B1655" s="24">
        <v>14</v>
      </c>
      <c r="C1655" s="24">
        <v>14</v>
      </c>
      <c r="D1655" s="24">
        <v>14</v>
      </c>
      <c r="E1655" s="26" t="s">
        <v>51</v>
      </c>
      <c r="F1655" s="17" t="s">
        <v>17</v>
      </c>
    </row>
    <row r="1656" spans="1:6" ht="15.6" x14ac:dyDescent="0.3">
      <c r="A1656" s="31">
        <v>43579</v>
      </c>
      <c r="B1656" s="24">
        <v>15</v>
      </c>
      <c r="C1656" s="24">
        <v>15</v>
      </c>
      <c r="D1656" s="24">
        <v>15</v>
      </c>
      <c r="E1656" s="26" t="s">
        <v>51</v>
      </c>
      <c r="F1656" s="17" t="s">
        <v>17</v>
      </c>
    </row>
    <row r="1657" spans="1:6" ht="15.6" x14ac:dyDescent="0.3">
      <c r="A1657" s="31">
        <v>43579</v>
      </c>
      <c r="B1657" s="24">
        <v>15</v>
      </c>
      <c r="C1657" s="24">
        <v>15</v>
      </c>
      <c r="D1657" s="24">
        <v>15</v>
      </c>
      <c r="E1657" s="26" t="s">
        <v>51</v>
      </c>
      <c r="F1657" s="17" t="s">
        <v>17</v>
      </c>
    </row>
    <row r="1658" spans="1:6" ht="15.6" x14ac:dyDescent="0.3">
      <c r="A1658" s="31">
        <v>43593</v>
      </c>
      <c r="B1658" s="24">
        <v>14</v>
      </c>
      <c r="C1658" s="24">
        <v>14</v>
      </c>
      <c r="D1658" s="24">
        <v>14</v>
      </c>
      <c r="E1658" s="26" t="s">
        <v>51</v>
      </c>
      <c r="F1658" s="17" t="s">
        <v>17</v>
      </c>
    </row>
    <row r="1659" spans="1:6" ht="15.6" x14ac:dyDescent="0.3">
      <c r="A1659" s="31">
        <v>43593</v>
      </c>
      <c r="B1659" s="24">
        <v>14</v>
      </c>
      <c r="C1659" s="24">
        <v>14</v>
      </c>
      <c r="D1659" s="24">
        <v>14</v>
      </c>
      <c r="E1659" s="26" t="s">
        <v>51</v>
      </c>
      <c r="F1659" s="17" t="s">
        <v>17</v>
      </c>
    </row>
    <row r="1660" spans="1:6" ht="15.6" x14ac:dyDescent="0.3">
      <c r="A1660" s="31">
        <v>43593</v>
      </c>
      <c r="B1660" s="24">
        <v>15</v>
      </c>
      <c r="C1660" s="24">
        <v>15</v>
      </c>
      <c r="D1660" s="24">
        <v>15</v>
      </c>
      <c r="E1660" s="26" t="s">
        <v>51</v>
      </c>
      <c r="F1660" s="17" t="s">
        <v>17</v>
      </c>
    </row>
    <row r="1661" spans="1:6" ht="15.6" x14ac:dyDescent="0.3">
      <c r="A1661" s="31">
        <v>43593</v>
      </c>
      <c r="B1661" s="24">
        <v>14</v>
      </c>
      <c r="C1661" s="24">
        <v>14</v>
      </c>
      <c r="D1661" s="24">
        <v>14</v>
      </c>
      <c r="E1661" s="26" t="s">
        <v>51</v>
      </c>
      <c r="F1661" s="17" t="s">
        <v>17</v>
      </c>
    </row>
    <row r="1662" spans="1:6" ht="15.6" x14ac:dyDescent="0.3">
      <c r="A1662" s="31">
        <v>43600</v>
      </c>
      <c r="B1662" s="24">
        <v>15</v>
      </c>
      <c r="C1662" s="24">
        <v>15</v>
      </c>
      <c r="D1662" s="24">
        <v>15</v>
      </c>
      <c r="E1662" s="26" t="s">
        <v>51</v>
      </c>
      <c r="F1662" s="17" t="s">
        <v>17</v>
      </c>
    </row>
    <row r="1663" spans="1:6" ht="15.6" x14ac:dyDescent="0.3">
      <c r="A1663" s="31">
        <v>43600</v>
      </c>
      <c r="B1663" s="24">
        <v>14</v>
      </c>
      <c r="C1663" s="24">
        <v>14</v>
      </c>
      <c r="D1663" s="24">
        <v>14</v>
      </c>
      <c r="E1663" s="26" t="s">
        <v>51</v>
      </c>
      <c r="F1663" s="17" t="s">
        <v>17</v>
      </c>
    </row>
    <row r="1664" spans="1:6" ht="15.6" x14ac:dyDescent="0.3">
      <c r="A1664" s="31">
        <v>43600</v>
      </c>
      <c r="B1664" s="24">
        <v>14</v>
      </c>
      <c r="C1664" s="24">
        <v>14</v>
      </c>
      <c r="D1664" s="24">
        <v>14</v>
      </c>
      <c r="E1664" s="26" t="s">
        <v>51</v>
      </c>
      <c r="F1664" s="17" t="s">
        <v>17</v>
      </c>
    </row>
    <row r="1665" spans="1:6" ht="15.6" x14ac:dyDescent="0.3">
      <c r="A1665" s="31">
        <v>43600</v>
      </c>
      <c r="B1665" s="24">
        <v>16</v>
      </c>
      <c r="C1665" s="24">
        <v>16</v>
      </c>
      <c r="D1665" s="24">
        <v>16</v>
      </c>
      <c r="E1665" s="26" t="s">
        <v>51</v>
      </c>
      <c r="F1665" s="17" t="s">
        <v>17</v>
      </c>
    </row>
    <row r="1666" spans="1:6" ht="15.6" x14ac:dyDescent="0.3">
      <c r="A1666" s="31">
        <v>43614</v>
      </c>
      <c r="B1666" s="24">
        <v>14</v>
      </c>
      <c r="C1666" s="24">
        <v>14</v>
      </c>
      <c r="D1666" s="24">
        <v>14</v>
      </c>
      <c r="E1666" s="26" t="s">
        <v>51</v>
      </c>
      <c r="F1666" s="17" t="s">
        <v>17</v>
      </c>
    </row>
    <row r="1667" spans="1:6" ht="15.6" x14ac:dyDescent="0.3">
      <c r="A1667" s="31">
        <v>43614</v>
      </c>
      <c r="B1667" s="24">
        <v>15</v>
      </c>
      <c r="C1667" s="24">
        <v>15</v>
      </c>
      <c r="D1667" s="24">
        <v>15</v>
      </c>
      <c r="E1667" s="26" t="s">
        <v>51</v>
      </c>
      <c r="F1667" s="17" t="s">
        <v>17</v>
      </c>
    </row>
    <row r="1668" spans="1:6" ht="15.6" x14ac:dyDescent="0.3">
      <c r="A1668" s="31">
        <v>43614</v>
      </c>
      <c r="B1668" s="24">
        <v>15</v>
      </c>
      <c r="C1668" s="24">
        <v>15</v>
      </c>
      <c r="D1668" s="24">
        <v>15</v>
      </c>
      <c r="E1668" s="26" t="s">
        <v>51</v>
      </c>
      <c r="F1668" s="17" t="s">
        <v>17</v>
      </c>
    </row>
    <row r="1669" spans="1:6" ht="15.6" x14ac:dyDescent="0.3">
      <c r="A1669" s="31">
        <v>43614</v>
      </c>
      <c r="B1669" s="24">
        <v>14</v>
      </c>
      <c r="C1669" s="24">
        <v>14</v>
      </c>
      <c r="D1669" s="24">
        <v>14</v>
      </c>
      <c r="E1669" s="26" t="s">
        <v>51</v>
      </c>
      <c r="F1669" s="17" t="s">
        <v>17</v>
      </c>
    </row>
    <row r="1670" spans="1:6" ht="15.6" x14ac:dyDescent="0.3">
      <c r="A1670" s="31">
        <v>43635</v>
      </c>
      <c r="B1670" s="24">
        <v>14</v>
      </c>
      <c r="C1670" s="24">
        <v>14</v>
      </c>
      <c r="D1670" s="24">
        <v>14</v>
      </c>
      <c r="E1670" s="26" t="s">
        <v>51</v>
      </c>
      <c r="F1670" s="17" t="s">
        <v>17</v>
      </c>
    </row>
    <row r="1671" spans="1:6" ht="15.6" x14ac:dyDescent="0.3">
      <c r="A1671" s="31">
        <v>43635</v>
      </c>
      <c r="B1671" s="24">
        <v>14</v>
      </c>
      <c r="C1671" s="24">
        <v>14</v>
      </c>
      <c r="D1671" s="24">
        <v>14</v>
      </c>
      <c r="E1671" s="26" t="s">
        <v>51</v>
      </c>
      <c r="F1671" s="17" t="s">
        <v>17</v>
      </c>
    </row>
    <row r="1672" spans="1:6" ht="15.6" x14ac:dyDescent="0.3">
      <c r="A1672" s="31">
        <v>43635</v>
      </c>
      <c r="B1672" s="24">
        <v>14</v>
      </c>
      <c r="C1672" s="24">
        <v>14</v>
      </c>
      <c r="D1672" s="24">
        <v>14</v>
      </c>
      <c r="E1672" s="26" t="s">
        <v>51</v>
      </c>
      <c r="F1672" s="17" t="s">
        <v>17</v>
      </c>
    </row>
    <row r="1673" spans="1:6" ht="15.6" x14ac:dyDescent="0.3">
      <c r="A1673" s="31">
        <v>43635</v>
      </c>
      <c r="B1673" s="24">
        <v>14</v>
      </c>
      <c r="C1673" s="24">
        <v>14</v>
      </c>
      <c r="D1673" s="24">
        <v>14</v>
      </c>
      <c r="E1673" s="26" t="s">
        <v>51</v>
      </c>
      <c r="F1673" s="17" t="s">
        <v>17</v>
      </c>
    </row>
    <row r="1674" spans="1:6" ht="15.6" x14ac:dyDescent="0.3">
      <c r="A1674" s="31">
        <v>43649</v>
      </c>
      <c r="B1674" s="24">
        <v>14</v>
      </c>
      <c r="C1674" s="24">
        <v>14</v>
      </c>
      <c r="D1674" s="24">
        <v>14</v>
      </c>
      <c r="E1674" s="26" t="s">
        <v>51</v>
      </c>
      <c r="F1674" s="17" t="s">
        <v>17</v>
      </c>
    </row>
    <row r="1675" spans="1:6" ht="15.6" x14ac:dyDescent="0.3">
      <c r="A1675" s="31">
        <v>43649</v>
      </c>
      <c r="B1675" s="24">
        <v>14</v>
      </c>
      <c r="C1675" s="24">
        <v>14</v>
      </c>
      <c r="D1675" s="24">
        <v>14</v>
      </c>
      <c r="E1675" s="26" t="s">
        <v>51</v>
      </c>
      <c r="F1675" s="17" t="s">
        <v>17</v>
      </c>
    </row>
    <row r="1676" spans="1:6" ht="15.6" x14ac:dyDescent="0.3">
      <c r="A1676" s="31">
        <v>43649</v>
      </c>
      <c r="B1676" s="24">
        <v>14</v>
      </c>
      <c r="C1676" s="24">
        <v>14</v>
      </c>
      <c r="D1676" s="24">
        <v>14</v>
      </c>
      <c r="E1676" s="26" t="s">
        <v>51</v>
      </c>
      <c r="F1676" s="17" t="s">
        <v>17</v>
      </c>
    </row>
    <row r="1677" spans="1:6" ht="15.6" x14ac:dyDescent="0.3">
      <c r="A1677" s="31">
        <v>43649</v>
      </c>
      <c r="B1677" s="24">
        <v>14</v>
      </c>
      <c r="C1677" s="24">
        <v>14</v>
      </c>
      <c r="D1677" s="24">
        <v>14</v>
      </c>
      <c r="E1677" s="26" t="s">
        <v>51</v>
      </c>
      <c r="F1677" s="17" t="s">
        <v>17</v>
      </c>
    </row>
    <row r="1678" spans="1:6" ht="15.6" x14ac:dyDescent="0.3">
      <c r="A1678" s="31">
        <v>43287</v>
      </c>
      <c r="B1678" s="24">
        <v>22</v>
      </c>
      <c r="C1678" s="24">
        <v>22</v>
      </c>
      <c r="D1678" s="24">
        <v>22</v>
      </c>
      <c r="E1678" s="26" t="s">
        <v>52</v>
      </c>
      <c r="F1678" s="17" t="s">
        <v>17</v>
      </c>
    </row>
    <row r="1679" spans="1:6" ht="15.6" x14ac:dyDescent="0.3">
      <c r="A1679" s="31">
        <v>43287</v>
      </c>
      <c r="B1679" s="24">
        <v>22</v>
      </c>
      <c r="C1679" s="24">
        <v>22</v>
      </c>
      <c r="D1679" s="24">
        <v>22</v>
      </c>
      <c r="E1679" s="26" t="s">
        <v>52</v>
      </c>
      <c r="F1679" s="17" t="s">
        <v>17</v>
      </c>
    </row>
    <row r="1680" spans="1:6" ht="15.6" x14ac:dyDescent="0.3">
      <c r="A1680" s="31">
        <v>43287</v>
      </c>
      <c r="B1680" s="24">
        <v>21</v>
      </c>
      <c r="C1680" s="24">
        <v>21</v>
      </c>
      <c r="D1680" s="24">
        <v>21</v>
      </c>
      <c r="E1680" s="26" t="s">
        <v>52</v>
      </c>
      <c r="F1680" s="17" t="s">
        <v>17</v>
      </c>
    </row>
    <row r="1681" spans="1:6" ht="15.6" x14ac:dyDescent="0.3">
      <c r="A1681" s="31">
        <v>43287</v>
      </c>
      <c r="B1681" s="24">
        <v>22</v>
      </c>
      <c r="C1681" s="24">
        <v>22</v>
      </c>
      <c r="D1681" s="24">
        <v>22</v>
      </c>
      <c r="E1681" s="26" t="s">
        <v>52</v>
      </c>
      <c r="F1681" s="17" t="s">
        <v>17</v>
      </c>
    </row>
    <row r="1682" spans="1:6" ht="15.6" x14ac:dyDescent="0.3">
      <c r="A1682" s="31">
        <v>43354</v>
      </c>
      <c r="B1682" s="24">
        <v>22</v>
      </c>
      <c r="C1682" s="24">
        <v>22</v>
      </c>
      <c r="D1682" s="24">
        <v>22</v>
      </c>
      <c r="E1682" s="26" t="s">
        <v>52</v>
      </c>
      <c r="F1682" s="17" t="s">
        <v>17</v>
      </c>
    </row>
    <row r="1683" spans="1:6" ht="15.6" x14ac:dyDescent="0.3">
      <c r="A1683" s="31">
        <v>43354</v>
      </c>
      <c r="B1683" s="24">
        <v>20</v>
      </c>
      <c r="C1683" s="24">
        <v>20</v>
      </c>
      <c r="D1683" s="24">
        <v>20</v>
      </c>
      <c r="E1683" s="26" t="s">
        <v>52</v>
      </c>
      <c r="F1683" s="17" t="s">
        <v>17</v>
      </c>
    </row>
    <row r="1684" spans="1:6" ht="15.6" x14ac:dyDescent="0.3">
      <c r="A1684" s="31">
        <v>43354</v>
      </c>
      <c r="B1684" s="24">
        <v>21</v>
      </c>
      <c r="C1684" s="24">
        <v>21</v>
      </c>
      <c r="D1684" s="24">
        <v>21</v>
      </c>
      <c r="E1684" s="26" t="s">
        <v>52</v>
      </c>
      <c r="F1684" s="17" t="s">
        <v>17</v>
      </c>
    </row>
    <row r="1685" spans="1:6" ht="15.6" x14ac:dyDescent="0.3">
      <c r="A1685" s="31">
        <v>43354</v>
      </c>
      <c r="B1685" s="24">
        <v>22</v>
      </c>
      <c r="C1685" s="24">
        <v>22</v>
      </c>
      <c r="D1685" s="24">
        <v>22</v>
      </c>
      <c r="E1685" s="26" t="s">
        <v>52</v>
      </c>
      <c r="F1685" s="17" t="s">
        <v>17</v>
      </c>
    </row>
    <row r="1686" spans="1:6" ht="15.6" x14ac:dyDescent="0.3">
      <c r="A1686" s="31">
        <v>43397</v>
      </c>
      <c r="B1686" s="24">
        <v>20</v>
      </c>
      <c r="C1686" s="24">
        <v>20</v>
      </c>
      <c r="D1686" s="24">
        <v>20</v>
      </c>
      <c r="E1686" s="26" t="s">
        <v>52</v>
      </c>
      <c r="F1686" s="17" t="s">
        <v>17</v>
      </c>
    </row>
    <row r="1687" spans="1:6" ht="15.6" x14ac:dyDescent="0.3">
      <c r="A1687" s="31">
        <v>43397</v>
      </c>
      <c r="B1687" s="24">
        <v>15</v>
      </c>
      <c r="C1687" s="24">
        <v>15</v>
      </c>
      <c r="D1687" s="24">
        <v>15</v>
      </c>
      <c r="E1687" s="26" t="s">
        <v>52</v>
      </c>
      <c r="F1687" s="17" t="s">
        <v>17</v>
      </c>
    </row>
    <row r="1688" spans="1:6" ht="15.6" x14ac:dyDescent="0.3">
      <c r="A1688" s="31">
        <v>43397</v>
      </c>
      <c r="B1688" s="24">
        <v>21</v>
      </c>
      <c r="C1688" s="24">
        <v>21</v>
      </c>
      <c r="D1688" s="24">
        <v>21</v>
      </c>
      <c r="E1688" s="26" t="s">
        <v>52</v>
      </c>
      <c r="F1688" s="17" t="s">
        <v>17</v>
      </c>
    </row>
    <row r="1689" spans="1:6" ht="15.6" x14ac:dyDescent="0.3">
      <c r="A1689" s="31">
        <v>43397</v>
      </c>
      <c r="B1689" s="24">
        <v>20</v>
      </c>
      <c r="C1689" s="24">
        <v>20</v>
      </c>
      <c r="D1689" s="24">
        <v>20</v>
      </c>
      <c r="E1689" s="26" t="s">
        <v>52</v>
      </c>
      <c r="F1689" s="17" t="s">
        <v>17</v>
      </c>
    </row>
    <row r="1690" spans="1:6" ht="15.6" x14ac:dyDescent="0.3">
      <c r="A1690" s="31">
        <v>43567</v>
      </c>
      <c r="B1690" s="24">
        <v>31</v>
      </c>
      <c r="C1690" s="24">
        <v>31</v>
      </c>
      <c r="D1690" s="24">
        <v>31</v>
      </c>
      <c r="E1690" s="26" t="s">
        <v>52</v>
      </c>
      <c r="F1690" s="17" t="s">
        <v>17</v>
      </c>
    </row>
    <row r="1691" spans="1:6" ht="15.6" x14ac:dyDescent="0.3">
      <c r="A1691" s="31">
        <v>43567</v>
      </c>
      <c r="B1691" s="24">
        <v>33</v>
      </c>
      <c r="C1691" s="24">
        <v>33</v>
      </c>
      <c r="D1691" s="24">
        <v>33</v>
      </c>
      <c r="E1691" s="26" t="s">
        <v>52</v>
      </c>
      <c r="F1691" s="17" t="s">
        <v>17</v>
      </c>
    </row>
    <row r="1692" spans="1:6" ht="15.6" x14ac:dyDescent="0.3">
      <c r="A1692" s="31">
        <v>43567</v>
      </c>
      <c r="B1692" s="24">
        <v>43</v>
      </c>
      <c r="C1692" s="24">
        <v>43</v>
      </c>
      <c r="D1692" s="24">
        <v>43</v>
      </c>
      <c r="E1692" s="26" t="s">
        <v>52</v>
      </c>
      <c r="F1692" s="17" t="s">
        <v>17</v>
      </c>
    </row>
    <row r="1693" spans="1:6" ht="15.6" x14ac:dyDescent="0.3">
      <c r="A1693" s="10">
        <v>43284</v>
      </c>
      <c r="B1693" s="14">
        <v>14</v>
      </c>
      <c r="C1693" s="14">
        <v>14</v>
      </c>
      <c r="D1693" s="14">
        <v>14</v>
      </c>
      <c r="E1693" s="26" t="s">
        <v>53</v>
      </c>
      <c r="F1693" s="17" t="s">
        <v>17</v>
      </c>
    </row>
    <row r="1694" spans="1:6" ht="15.6" x14ac:dyDescent="0.3">
      <c r="A1694" s="10">
        <v>43284</v>
      </c>
      <c r="B1694" s="14">
        <v>40</v>
      </c>
      <c r="C1694" s="14">
        <v>40</v>
      </c>
      <c r="D1694" s="14">
        <v>40</v>
      </c>
      <c r="E1694" s="26" t="s">
        <v>53</v>
      </c>
      <c r="F1694" s="17" t="s">
        <v>17</v>
      </c>
    </row>
    <row r="1695" spans="1:6" ht="15.6" x14ac:dyDescent="0.3">
      <c r="A1695" s="10">
        <v>43284</v>
      </c>
      <c r="B1695" s="14">
        <v>40</v>
      </c>
      <c r="C1695" s="14">
        <v>40</v>
      </c>
      <c r="D1695" s="14">
        <v>40</v>
      </c>
      <c r="E1695" s="26" t="s">
        <v>53</v>
      </c>
      <c r="F1695" s="17" t="s">
        <v>17</v>
      </c>
    </row>
    <row r="1696" spans="1:6" ht="15.6" x14ac:dyDescent="0.3">
      <c r="A1696" s="10">
        <v>43284</v>
      </c>
      <c r="B1696" s="14">
        <v>40</v>
      </c>
      <c r="C1696" s="14">
        <v>40</v>
      </c>
      <c r="D1696" s="14">
        <v>40</v>
      </c>
      <c r="E1696" s="26" t="s">
        <v>53</v>
      </c>
      <c r="F1696" s="17" t="s">
        <v>17</v>
      </c>
    </row>
    <row r="1697" spans="1:6" ht="15.6" x14ac:dyDescent="0.3">
      <c r="A1697" s="10">
        <v>43287</v>
      </c>
      <c r="B1697" s="14">
        <v>40</v>
      </c>
      <c r="C1697" s="14">
        <v>40</v>
      </c>
      <c r="D1697" s="14">
        <v>40</v>
      </c>
      <c r="E1697" s="26" t="s">
        <v>53</v>
      </c>
      <c r="F1697" s="17" t="s">
        <v>17</v>
      </c>
    </row>
    <row r="1698" spans="1:6" ht="15.6" x14ac:dyDescent="0.3">
      <c r="A1698" s="10">
        <v>43287</v>
      </c>
      <c r="B1698" s="14">
        <v>40</v>
      </c>
      <c r="C1698" s="14">
        <v>40</v>
      </c>
      <c r="D1698" s="14">
        <v>40</v>
      </c>
      <c r="E1698" s="26" t="s">
        <v>53</v>
      </c>
      <c r="F1698" s="17" t="s">
        <v>17</v>
      </c>
    </row>
    <row r="1699" spans="1:6" ht="15.6" x14ac:dyDescent="0.3">
      <c r="A1699" s="10">
        <v>43287</v>
      </c>
      <c r="B1699" s="14">
        <v>41</v>
      </c>
      <c r="C1699" s="14">
        <v>41</v>
      </c>
      <c r="D1699" s="14">
        <v>41</v>
      </c>
      <c r="E1699" s="26" t="s">
        <v>53</v>
      </c>
      <c r="F1699" s="17" t="s">
        <v>17</v>
      </c>
    </row>
    <row r="1700" spans="1:6" ht="15.6" x14ac:dyDescent="0.3">
      <c r="A1700" s="10">
        <v>43489</v>
      </c>
      <c r="B1700" s="14">
        <v>27</v>
      </c>
      <c r="C1700" s="14">
        <v>27</v>
      </c>
      <c r="D1700" s="14">
        <v>27</v>
      </c>
      <c r="E1700" s="26" t="s">
        <v>53</v>
      </c>
      <c r="F1700" s="17" t="s">
        <v>17</v>
      </c>
    </row>
    <row r="1701" spans="1:6" ht="15.6" x14ac:dyDescent="0.3">
      <c r="A1701" s="10">
        <v>43489</v>
      </c>
      <c r="B1701" s="14">
        <v>30</v>
      </c>
      <c r="C1701" s="14">
        <v>30</v>
      </c>
      <c r="D1701" s="14">
        <v>30</v>
      </c>
      <c r="E1701" s="26" t="s">
        <v>53</v>
      </c>
      <c r="F1701" s="17" t="s">
        <v>17</v>
      </c>
    </row>
    <row r="1702" spans="1:6" ht="15.6" x14ac:dyDescent="0.3">
      <c r="A1702" s="10">
        <v>43489</v>
      </c>
      <c r="B1702" s="14">
        <v>25</v>
      </c>
      <c r="C1702" s="14">
        <v>25</v>
      </c>
      <c r="D1702" s="14">
        <v>25</v>
      </c>
      <c r="E1702" s="26" t="s">
        <v>53</v>
      </c>
      <c r="F1702" s="17" t="s">
        <v>17</v>
      </c>
    </row>
    <row r="1703" spans="1:6" ht="15.6" x14ac:dyDescent="0.3">
      <c r="A1703" s="10">
        <v>43489</v>
      </c>
      <c r="B1703" s="14">
        <v>18</v>
      </c>
      <c r="C1703" s="14">
        <v>18</v>
      </c>
      <c r="D1703" s="14">
        <v>18</v>
      </c>
      <c r="E1703" s="26" t="s">
        <v>53</v>
      </c>
      <c r="F1703" s="17" t="s">
        <v>17</v>
      </c>
    </row>
    <row r="1704" spans="1:6" ht="15.6" x14ac:dyDescent="0.3">
      <c r="A1704" s="10">
        <v>43489</v>
      </c>
      <c r="B1704" s="14">
        <v>41</v>
      </c>
      <c r="C1704" s="14">
        <v>41</v>
      </c>
      <c r="D1704" s="14">
        <v>41</v>
      </c>
      <c r="E1704" s="26" t="s">
        <v>53</v>
      </c>
      <c r="F1704" s="17" t="s">
        <v>17</v>
      </c>
    </row>
    <row r="1705" spans="1:6" ht="15.6" x14ac:dyDescent="0.3">
      <c r="A1705" s="10">
        <v>43489</v>
      </c>
      <c r="B1705" s="14">
        <v>40</v>
      </c>
      <c r="C1705" s="14">
        <v>40</v>
      </c>
      <c r="D1705" s="14">
        <v>40</v>
      </c>
      <c r="E1705" s="26" t="s">
        <v>53</v>
      </c>
      <c r="F1705" s="17" t="s">
        <v>17</v>
      </c>
    </row>
    <row r="1706" spans="1:6" ht="15.6" x14ac:dyDescent="0.3">
      <c r="A1706" s="10">
        <v>43489</v>
      </c>
      <c r="B1706" s="14">
        <v>36</v>
      </c>
      <c r="C1706" s="14">
        <v>36</v>
      </c>
      <c r="D1706" s="14">
        <v>36</v>
      </c>
      <c r="E1706" s="26" t="s">
        <v>53</v>
      </c>
      <c r="F1706" s="17" t="s">
        <v>17</v>
      </c>
    </row>
    <row r="1707" spans="1:6" ht="15.6" x14ac:dyDescent="0.3">
      <c r="A1707" s="10">
        <v>43833</v>
      </c>
      <c r="B1707" s="14">
        <v>4</v>
      </c>
      <c r="C1707" s="14">
        <v>4</v>
      </c>
      <c r="D1707" s="14">
        <v>4</v>
      </c>
      <c r="E1707" s="26" t="s">
        <v>53</v>
      </c>
      <c r="F1707" s="17" t="s">
        <v>17</v>
      </c>
    </row>
    <row r="1708" spans="1:6" ht="15.6" x14ac:dyDescent="0.3">
      <c r="A1708" s="10">
        <v>43871</v>
      </c>
      <c r="B1708" s="14">
        <v>22</v>
      </c>
      <c r="C1708" s="14">
        <v>22</v>
      </c>
      <c r="D1708" s="14">
        <v>22</v>
      </c>
      <c r="E1708" s="26" t="s">
        <v>53</v>
      </c>
      <c r="F1708" s="17" t="s">
        <v>17</v>
      </c>
    </row>
    <row r="1709" spans="1:6" ht="15.6" x14ac:dyDescent="0.3">
      <c r="A1709" s="10">
        <v>43871</v>
      </c>
      <c r="B1709" s="14">
        <v>22</v>
      </c>
      <c r="C1709" s="14">
        <v>22</v>
      </c>
      <c r="D1709" s="14">
        <v>22</v>
      </c>
      <c r="E1709" s="26" t="s">
        <v>53</v>
      </c>
      <c r="F1709" s="17" t="s">
        <v>17</v>
      </c>
    </row>
    <row r="1710" spans="1:6" ht="15.6" x14ac:dyDescent="0.3">
      <c r="A1710" s="10">
        <v>43887</v>
      </c>
      <c r="B1710" s="14">
        <v>24</v>
      </c>
      <c r="C1710" s="30">
        <v>24</v>
      </c>
      <c r="D1710" s="14">
        <v>24</v>
      </c>
      <c r="E1710" s="26" t="s">
        <v>53</v>
      </c>
      <c r="F1710" s="17" t="s">
        <v>17</v>
      </c>
    </row>
    <row r="1711" spans="1:6" ht="15.6" x14ac:dyDescent="0.3">
      <c r="A1711" s="10">
        <v>43887</v>
      </c>
      <c r="B1711" s="14">
        <v>17</v>
      </c>
      <c r="C1711" s="14">
        <v>17</v>
      </c>
      <c r="D1711" s="14">
        <v>17</v>
      </c>
      <c r="E1711" s="26" t="s">
        <v>53</v>
      </c>
      <c r="F1711" s="17" t="s">
        <v>17</v>
      </c>
    </row>
    <row r="1712" spans="1:6" ht="15.6" x14ac:dyDescent="0.3">
      <c r="A1712" s="75">
        <v>43997</v>
      </c>
      <c r="B1712" s="14">
        <v>34</v>
      </c>
      <c r="C1712" s="14">
        <v>34</v>
      </c>
      <c r="D1712" s="14">
        <v>34</v>
      </c>
      <c r="E1712" s="26" t="s">
        <v>53</v>
      </c>
      <c r="F1712" s="17" t="s">
        <v>17</v>
      </c>
    </row>
    <row r="1713" spans="1:6" ht="15.6" x14ac:dyDescent="0.3">
      <c r="A1713" s="75">
        <v>43997</v>
      </c>
      <c r="B1713" s="14">
        <v>41</v>
      </c>
      <c r="C1713" s="14">
        <v>41</v>
      </c>
      <c r="D1713" s="14">
        <v>41</v>
      </c>
      <c r="E1713" s="26" t="s">
        <v>53</v>
      </c>
      <c r="F1713" s="17" t="s">
        <v>17</v>
      </c>
    </row>
    <row r="1714" spans="1:6" ht="15.6" x14ac:dyDescent="0.3">
      <c r="A1714" s="10">
        <v>44056</v>
      </c>
      <c r="B1714" s="14">
        <v>27</v>
      </c>
      <c r="C1714" s="14">
        <v>27</v>
      </c>
      <c r="D1714" s="14">
        <v>27</v>
      </c>
      <c r="E1714" s="26" t="s">
        <v>53</v>
      </c>
      <c r="F1714" s="17" t="s">
        <v>17</v>
      </c>
    </row>
    <row r="1715" spans="1:6" ht="15.6" x14ac:dyDescent="0.3">
      <c r="A1715" s="75">
        <v>44201</v>
      </c>
      <c r="B1715" s="14">
        <v>34</v>
      </c>
      <c r="C1715" s="14">
        <v>34</v>
      </c>
      <c r="D1715" s="14">
        <v>34</v>
      </c>
      <c r="E1715" s="26" t="s">
        <v>53</v>
      </c>
      <c r="F1715" s="17" t="s">
        <v>17</v>
      </c>
    </row>
    <row r="1716" spans="1:6" ht="15.6" x14ac:dyDescent="0.3">
      <c r="A1716" s="75">
        <v>44201</v>
      </c>
      <c r="B1716" s="14">
        <v>40</v>
      </c>
      <c r="C1716" s="14">
        <v>40</v>
      </c>
      <c r="D1716" s="14">
        <v>40</v>
      </c>
      <c r="E1716" s="26" t="s">
        <v>53</v>
      </c>
      <c r="F1716" s="17" t="s">
        <v>17</v>
      </c>
    </row>
    <row r="1717" spans="1:6" ht="15.6" x14ac:dyDescent="0.3">
      <c r="A1717" s="31">
        <v>43278</v>
      </c>
      <c r="B1717" s="24">
        <v>34</v>
      </c>
      <c r="C1717" s="24">
        <v>30</v>
      </c>
      <c r="D1717" s="24">
        <v>34</v>
      </c>
      <c r="E1717" s="26" t="s">
        <v>54</v>
      </c>
      <c r="F1717" s="17" t="s">
        <v>17</v>
      </c>
    </row>
    <row r="1718" spans="1:6" ht="15.6" x14ac:dyDescent="0.3">
      <c r="A1718" s="31">
        <v>43278</v>
      </c>
      <c r="B1718" s="24">
        <v>29</v>
      </c>
      <c r="C1718" s="24">
        <v>23</v>
      </c>
      <c r="D1718" s="24">
        <v>29</v>
      </c>
      <c r="E1718" s="26" t="s">
        <v>54</v>
      </c>
      <c r="F1718" s="17" t="s">
        <v>17</v>
      </c>
    </row>
    <row r="1719" spans="1:6" ht="15.6" x14ac:dyDescent="0.3">
      <c r="A1719" s="31">
        <v>43278</v>
      </c>
      <c r="B1719" s="24">
        <v>46</v>
      </c>
      <c r="C1719" s="24">
        <v>35</v>
      </c>
      <c r="D1719" s="24">
        <v>46</v>
      </c>
      <c r="E1719" s="26" t="s">
        <v>54</v>
      </c>
      <c r="F1719" s="17" t="s">
        <v>17</v>
      </c>
    </row>
    <row r="1720" spans="1:6" ht="15.6" x14ac:dyDescent="0.3">
      <c r="A1720" s="31">
        <v>43278</v>
      </c>
      <c r="B1720" s="24">
        <v>46</v>
      </c>
      <c r="C1720" s="24">
        <v>38</v>
      </c>
      <c r="D1720" s="24">
        <v>46</v>
      </c>
      <c r="E1720" s="26" t="s">
        <v>54</v>
      </c>
      <c r="F1720" s="17" t="s">
        <v>17</v>
      </c>
    </row>
    <row r="1721" spans="1:6" ht="15.6" x14ac:dyDescent="0.3">
      <c r="A1721" s="31">
        <v>43278</v>
      </c>
      <c r="B1721" s="24">
        <v>50</v>
      </c>
      <c r="C1721" s="24">
        <v>44</v>
      </c>
      <c r="D1721" s="24">
        <v>50</v>
      </c>
      <c r="E1721" s="26" t="s">
        <v>54</v>
      </c>
      <c r="F1721" s="17" t="s">
        <v>17</v>
      </c>
    </row>
    <row r="1722" spans="1:6" ht="15.6" x14ac:dyDescent="0.3">
      <c r="A1722" s="31">
        <v>43378</v>
      </c>
      <c r="B1722" s="24">
        <v>59</v>
      </c>
      <c r="C1722" s="24">
        <v>59</v>
      </c>
      <c r="D1722" s="24">
        <v>59</v>
      </c>
      <c r="E1722" s="26" t="s">
        <v>54</v>
      </c>
      <c r="F1722" s="17" t="s">
        <v>17</v>
      </c>
    </row>
    <row r="1723" spans="1:6" ht="15.6" x14ac:dyDescent="0.3">
      <c r="A1723" s="31">
        <v>43378</v>
      </c>
      <c r="B1723" s="24">
        <v>62</v>
      </c>
      <c r="C1723" s="24">
        <v>62</v>
      </c>
      <c r="D1723" s="24">
        <v>62</v>
      </c>
      <c r="E1723" s="26" t="s">
        <v>54</v>
      </c>
      <c r="F1723" s="17" t="s">
        <v>17</v>
      </c>
    </row>
    <row r="1724" spans="1:6" ht="15.6" x14ac:dyDescent="0.3">
      <c r="A1724" s="31">
        <v>43385</v>
      </c>
      <c r="B1724" s="24">
        <v>41</v>
      </c>
      <c r="C1724" s="24">
        <v>41</v>
      </c>
      <c r="D1724" s="24">
        <v>41</v>
      </c>
      <c r="E1724" s="26" t="s">
        <v>54</v>
      </c>
      <c r="F1724" s="17" t="s">
        <v>17</v>
      </c>
    </row>
    <row r="1725" spans="1:6" ht="15.6" x14ac:dyDescent="0.3">
      <c r="A1725" s="31">
        <v>43385</v>
      </c>
      <c r="B1725" s="24">
        <v>48</v>
      </c>
      <c r="C1725" s="24">
        <v>48</v>
      </c>
      <c r="D1725" s="24">
        <v>48</v>
      </c>
      <c r="E1725" s="26" t="s">
        <v>54</v>
      </c>
      <c r="F1725" s="17" t="s">
        <v>17</v>
      </c>
    </row>
    <row r="1726" spans="1:6" ht="15.6" x14ac:dyDescent="0.3">
      <c r="A1726" s="31">
        <v>43453</v>
      </c>
      <c r="B1726" s="24">
        <v>1</v>
      </c>
      <c r="C1726" s="24">
        <v>1</v>
      </c>
      <c r="D1726" s="24">
        <v>1</v>
      </c>
      <c r="E1726" s="26" t="s">
        <v>54</v>
      </c>
      <c r="F1726" s="17" t="s">
        <v>17</v>
      </c>
    </row>
    <row r="1727" spans="1:6" ht="15.6" x14ac:dyDescent="0.3">
      <c r="A1727" s="31">
        <v>43894</v>
      </c>
      <c r="B1727" s="24">
        <v>25</v>
      </c>
      <c r="C1727" s="48">
        <v>25</v>
      </c>
      <c r="D1727" s="48">
        <v>25</v>
      </c>
      <c r="E1727" s="26" t="s">
        <v>54</v>
      </c>
      <c r="F1727" s="17" t="s">
        <v>17</v>
      </c>
    </row>
    <row r="1728" spans="1:6" ht="15.6" x14ac:dyDescent="0.3">
      <c r="A1728" s="10">
        <v>43277</v>
      </c>
      <c r="B1728" s="14">
        <v>9</v>
      </c>
      <c r="C1728" s="14">
        <v>9</v>
      </c>
      <c r="D1728" s="14">
        <v>9</v>
      </c>
      <c r="E1728" s="26" t="s">
        <v>55</v>
      </c>
      <c r="F1728" s="17" t="s">
        <v>17</v>
      </c>
    </row>
    <row r="1729" spans="1:6" ht="15.6" x14ac:dyDescent="0.3">
      <c r="A1729" s="10">
        <v>43277</v>
      </c>
      <c r="B1729" s="14">
        <v>11</v>
      </c>
      <c r="C1729" s="14">
        <v>11</v>
      </c>
      <c r="D1729" s="14">
        <v>11</v>
      </c>
      <c r="E1729" s="26" t="s">
        <v>55</v>
      </c>
      <c r="F1729" s="17" t="s">
        <v>17</v>
      </c>
    </row>
    <row r="1730" spans="1:6" ht="15.6" x14ac:dyDescent="0.3">
      <c r="A1730" s="10">
        <v>43277</v>
      </c>
      <c r="B1730" s="14">
        <v>15</v>
      </c>
      <c r="C1730" s="14">
        <v>15</v>
      </c>
      <c r="D1730" s="14">
        <v>15</v>
      </c>
      <c r="E1730" s="26" t="s">
        <v>55</v>
      </c>
      <c r="F1730" s="17" t="s">
        <v>17</v>
      </c>
    </row>
    <row r="1731" spans="1:6" ht="15.6" x14ac:dyDescent="0.3">
      <c r="A1731" s="10">
        <v>43277</v>
      </c>
      <c r="B1731" s="14">
        <v>12</v>
      </c>
      <c r="C1731" s="14">
        <v>12</v>
      </c>
      <c r="D1731" s="14">
        <v>12</v>
      </c>
      <c r="E1731" s="26" t="s">
        <v>55</v>
      </c>
      <c r="F1731" s="17" t="s">
        <v>17</v>
      </c>
    </row>
    <row r="1732" spans="1:6" ht="15.6" x14ac:dyDescent="0.3">
      <c r="A1732" s="10">
        <v>43277</v>
      </c>
      <c r="B1732" s="14">
        <v>14</v>
      </c>
      <c r="C1732" s="14">
        <v>14</v>
      </c>
      <c r="D1732" s="14">
        <v>14</v>
      </c>
      <c r="E1732" s="26" t="s">
        <v>55</v>
      </c>
      <c r="F1732" s="17" t="s">
        <v>17</v>
      </c>
    </row>
    <row r="1733" spans="1:6" ht="15.6" x14ac:dyDescent="0.3">
      <c r="A1733" s="10">
        <v>43371</v>
      </c>
      <c r="B1733" s="14">
        <v>10</v>
      </c>
      <c r="C1733" s="14">
        <v>10</v>
      </c>
      <c r="D1733" s="14">
        <v>10</v>
      </c>
      <c r="E1733" s="26" t="s">
        <v>55</v>
      </c>
      <c r="F1733" s="17" t="s">
        <v>17</v>
      </c>
    </row>
    <row r="1734" spans="1:6" ht="15.6" x14ac:dyDescent="0.3">
      <c r="A1734" s="10">
        <v>43371</v>
      </c>
      <c r="B1734" s="14">
        <v>10</v>
      </c>
      <c r="C1734" s="14">
        <v>10</v>
      </c>
      <c r="D1734" s="14">
        <v>10</v>
      </c>
      <c r="E1734" s="26" t="s">
        <v>55</v>
      </c>
      <c r="F1734" s="17" t="s">
        <v>17</v>
      </c>
    </row>
    <row r="1735" spans="1:6" ht="15.6" x14ac:dyDescent="0.3">
      <c r="A1735" s="10">
        <v>43371</v>
      </c>
      <c r="B1735" s="14">
        <v>14</v>
      </c>
      <c r="C1735" s="14">
        <v>14</v>
      </c>
      <c r="D1735" s="14">
        <v>14</v>
      </c>
      <c r="E1735" s="26" t="s">
        <v>55</v>
      </c>
      <c r="F1735" s="17" t="s">
        <v>17</v>
      </c>
    </row>
    <row r="1736" spans="1:6" ht="15.6" x14ac:dyDescent="0.3">
      <c r="A1736" s="10">
        <v>43371</v>
      </c>
      <c r="B1736" s="14">
        <v>13</v>
      </c>
      <c r="C1736" s="14">
        <v>13</v>
      </c>
      <c r="D1736" s="14">
        <v>13</v>
      </c>
      <c r="E1736" s="26" t="s">
        <v>55</v>
      </c>
      <c r="F1736" s="17" t="s">
        <v>17</v>
      </c>
    </row>
    <row r="1737" spans="1:6" ht="15.6" x14ac:dyDescent="0.3">
      <c r="A1737" s="10">
        <v>43371</v>
      </c>
      <c r="B1737" s="14">
        <v>13</v>
      </c>
      <c r="C1737" s="14">
        <v>13</v>
      </c>
      <c r="D1737" s="14">
        <v>13</v>
      </c>
      <c r="E1737" s="26" t="s">
        <v>55</v>
      </c>
      <c r="F1737" s="17" t="s">
        <v>17</v>
      </c>
    </row>
    <row r="1738" spans="1:6" ht="15.6" x14ac:dyDescent="0.3">
      <c r="A1738" s="10">
        <v>43521</v>
      </c>
      <c r="B1738" s="14">
        <v>12</v>
      </c>
      <c r="C1738" s="14">
        <v>12</v>
      </c>
      <c r="D1738" s="14">
        <v>12</v>
      </c>
      <c r="E1738" s="26" t="s">
        <v>55</v>
      </c>
      <c r="F1738" s="17" t="s">
        <v>17</v>
      </c>
    </row>
    <row r="1739" spans="1:6" ht="15.6" x14ac:dyDescent="0.3">
      <c r="A1739" s="10">
        <v>43521</v>
      </c>
      <c r="B1739" s="14">
        <v>12</v>
      </c>
      <c r="C1739" s="14">
        <v>12</v>
      </c>
      <c r="D1739" s="14">
        <v>12</v>
      </c>
      <c r="E1739" s="26" t="s">
        <v>55</v>
      </c>
      <c r="F1739" s="17" t="s">
        <v>17</v>
      </c>
    </row>
    <row r="1740" spans="1:6" ht="15.6" x14ac:dyDescent="0.3">
      <c r="A1740" s="10">
        <v>43521</v>
      </c>
      <c r="B1740" s="14">
        <v>12</v>
      </c>
      <c r="C1740" s="14">
        <v>12</v>
      </c>
      <c r="D1740" s="14">
        <v>12</v>
      </c>
      <c r="E1740" s="26" t="s">
        <v>55</v>
      </c>
      <c r="F1740" s="17" t="s">
        <v>17</v>
      </c>
    </row>
    <row r="1741" spans="1:6" ht="15.6" x14ac:dyDescent="0.3">
      <c r="A1741" s="10">
        <v>43521</v>
      </c>
      <c r="B1741" s="14">
        <v>10</v>
      </c>
      <c r="C1741" s="14">
        <v>10</v>
      </c>
      <c r="D1741" s="14">
        <v>10</v>
      </c>
      <c r="E1741" s="26" t="s">
        <v>55</v>
      </c>
      <c r="F1741" s="17" t="s">
        <v>17</v>
      </c>
    </row>
    <row r="1742" spans="1:6" ht="15.6" x14ac:dyDescent="0.3">
      <c r="A1742" s="10">
        <v>43521</v>
      </c>
      <c r="B1742" s="14">
        <v>12</v>
      </c>
      <c r="C1742" s="14">
        <v>12</v>
      </c>
      <c r="D1742" s="14">
        <v>12</v>
      </c>
      <c r="E1742" s="26" t="s">
        <v>55</v>
      </c>
      <c r="F1742" s="17" t="s">
        <v>17</v>
      </c>
    </row>
    <row r="1743" spans="1:6" ht="15.6" x14ac:dyDescent="0.3">
      <c r="A1743" s="10">
        <v>43643</v>
      </c>
      <c r="B1743" s="14">
        <v>14</v>
      </c>
      <c r="C1743" s="14">
        <v>14</v>
      </c>
      <c r="D1743" s="14">
        <v>14</v>
      </c>
      <c r="E1743" s="26" t="s">
        <v>55</v>
      </c>
      <c r="F1743" s="17" t="s">
        <v>17</v>
      </c>
    </row>
    <row r="1744" spans="1:6" ht="15.6" x14ac:dyDescent="0.3">
      <c r="A1744" s="10">
        <v>43643</v>
      </c>
      <c r="B1744" s="14">
        <v>12</v>
      </c>
      <c r="C1744" s="14">
        <v>12</v>
      </c>
      <c r="D1744" s="14">
        <v>12</v>
      </c>
      <c r="E1744" s="26" t="s">
        <v>55</v>
      </c>
      <c r="F1744" s="17" t="s">
        <v>17</v>
      </c>
    </row>
    <row r="1745" spans="1:6" ht="15.6" x14ac:dyDescent="0.3">
      <c r="A1745" s="10">
        <v>43643</v>
      </c>
      <c r="B1745" s="14">
        <v>16</v>
      </c>
      <c r="C1745" s="14">
        <v>16</v>
      </c>
      <c r="D1745" s="14">
        <v>16</v>
      </c>
      <c r="E1745" s="26" t="s">
        <v>55</v>
      </c>
      <c r="F1745" s="17" t="s">
        <v>17</v>
      </c>
    </row>
    <row r="1746" spans="1:6" ht="15.6" x14ac:dyDescent="0.3">
      <c r="A1746" s="10">
        <v>43643</v>
      </c>
      <c r="B1746" s="14">
        <v>15</v>
      </c>
      <c r="C1746" s="14">
        <v>15</v>
      </c>
      <c r="D1746" s="14">
        <v>15</v>
      </c>
      <c r="E1746" s="26" t="s">
        <v>55</v>
      </c>
      <c r="F1746" s="17" t="s">
        <v>17</v>
      </c>
    </row>
    <row r="1747" spans="1:6" ht="15.6" x14ac:dyDescent="0.3">
      <c r="A1747" s="10">
        <v>43643</v>
      </c>
      <c r="B1747" s="14">
        <v>15</v>
      </c>
      <c r="C1747" s="14">
        <v>15</v>
      </c>
      <c r="D1747" s="14">
        <v>15</v>
      </c>
      <c r="E1747" s="26" t="s">
        <v>55</v>
      </c>
      <c r="F1747" s="17" t="s">
        <v>17</v>
      </c>
    </row>
    <row r="1748" spans="1:6" ht="15.6" x14ac:dyDescent="0.3">
      <c r="A1748" s="41">
        <v>44363</v>
      </c>
      <c r="B1748" s="14">
        <v>1</v>
      </c>
      <c r="C1748" s="29">
        <v>1</v>
      </c>
      <c r="D1748" s="14">
        <v>1</v>
      </c>
      <c r="E1748" s="26" t="s">
        <v>55</v>
      </c>
      <c r="F1748" s="17" t="s">
        <v>17</v>
      </c>
    </row>
    <row r="1749" spans="1:6" ht="15.6" x14ac:dyDescent="0.3">
      <c r="A1749" s="41">
        <v>44589</v>
      </c>
      <c r="B1749" s="14">
        <v>1</v>
      </c>
      <c r="C1749" s="29">
        <v>1</v>
      </c>
      <c r="D1749" s="14">
        <v>1</v>
      </c>
      <c r="E1749" s="26" t="s">
        <v>55</v>
      </c>
      <c r="F1749" s="17" t="s">
        <v>17</v>
      </c>
    </row>
    <row r="1750" spans="1:6" ht="15.6" x14ac:dyDescent="0.3">
      <c r="A1750" s="41">
        <v>44589</v>
      </c>
      <c r="B1750" s="14">
        <v>1</v>
      </c>
      <c r="C1750" s="29">
        <v>1</v>
      </c>
      <c r="D1750" s="14">
        <v>1</v>
      </c>
      <c r="E1750" s="26" t="s">
        <v>55</v>
      </c>
      <c r="F1750" s="17" t="s">
        <v>17</v>
      </c>
    </row>
    <row r="1751" spans="1:6" ht="15.6" x14ac:dyDescent="0.3">
      <c r="A1751" s="95">
        <v>44725</v>
      </c>
      <c r="B1751" s="14">
        <v>3</v>
      </c>
      <c r="C1751" s="29">
        <v>2</v>
      </c>
      <c r="D1751" s="14">
        <v>2</v>
      </c>
      <c r="E1751" s="26" t="s">
        <v>55</v>
      </c>
      <c r="F1751" s="17" t="s">
        <v>17</v>
      </c>
    </row>
    <row r="1752" spans="1:6" ht="15.6" x14ac:dyDescent="0.3">
      <c r="A1752" s="95">
        <v>44725</v>
      </c>
      <c r="B1752" s="14">
        <v>4</v>
      </c>
      <c r="C1752" s="29">
        <v>4</v>
      </c>
      <c r="D1752" s="14">
        <v>4</v>
      </c>
      <c r="E1752" s="26" t="s">
        <v>55</v>
      </c>
      <c r="F1752" s="17" t="s">
        <v>17</v>
      </c>
    </row>
    <row r="1753" spans="1:6" ht="15.6" x14ac:dyDescent="0.3">
      <c r="A1753" s="75">
        <v>43269</v>
      </c>
      <c r="B1753" s="14">
        <v>15</v>
      </c>
      <c r="C1753" s="14">
        <v>15</v>
      </c>
      <c r="D1753" s="14">
        <v>15</v>
      </c>
      <c r="E1753" s="24" t="s">
        <v>56</v>
      </c>
      <c r="F1753" s="17" t="s">
        <v>17</v>
      </c>
    </row>
    <row r="1754" spans="1:6" ht="15.6" x14ac:dyDescent="0.3">
      <c r="A1754" s="75">
        <v>43269</v>
      </c>
      <c r="B1754" s="14">
        <v>27</v>
      </c>
      <c r="C1754" s="14">
        <v>27</v>
      </c>
      <c r="D1754" s="14">
        <v>27</v>
      </c>
      <c r="E1754" s="24" t="s">
        <v>56</v>
      </c>
      <c r="F1754" s="17" t="s">
        <v>17</v>
      </c>
    </row>
    <row r="1755" spans="1:6" ht="15.6" x14ac:dyDescent="0.3">
      <c r="A1755" s="75">
        <v>43290</v>
      </c>
      <c r="B1755" s="14">
        <v>20</v>
      </c>
      <c r="C1755" s="14">
        <v>20</v>
      </c>
      <c r="D1755" s="14">
        <v>20</v>
      </c>
      <c r="E1755" s="24" t="s">
        <v>56</v>
      </c>
      <c r="F1755" s="17" t="s">
        <v>17</v>
      </c>
    </row>
    <row r="1756" spans="1:6" ht="15.6" x14ac:dyDescent="0.3">
      <c r="A1756" s="75">
        <v>43290</v>
      </c>
      <c r="B1756" s="14">
        <v>18</v>
      </c>
      <c r="C1756" s="14">
        <v>18</v>
      </c>
      <c r="D1756" s="14">
        <v>18</v>
      </c>
      <c r="E1756" s="24" t="s">
        <v>56</v>
      </c>
      <c r="F1756" s="17" t="s">
        <v>17</v>
      </c>
    </row>
    <row r="1757" spans="1:6" ht="15.6" x14ac:dyDescent="0.3">
      <c r="A1757" s="75">
        <v>43304</v>
      </c>
      <c r="B1757" s="14">
        <v>24</v>
      </c>
      <c r="C1757" s="14">
        <v>24</v>
      </c>
      <c r="D1757" s="14">
        <v>24</v>
      </c>
      <c r="E1757" s="24" t="s">
        <v>56</v>
      </c>
      <c r="F1757" s="17" t="s">
        <v>17</v>
      </c>
    </row>
    <row r="1758" spans="1:6" ht="15.6" x14ac:dyDescent="0.3">
      <c r="A1758" s="75">
        <v>43304</v>
      </c>
      <c r="B1758" s="14">
        <v>12</v>
      </c>
      <c r="C1758" s="14">
        <v>12</v>
      </c>
      <c r="D1758" s="14">
        <v>12</v>
      </c>
      <c r="E1758" s="24" t="s">
        <v>56</v>
      </c>
      <c r="F1758" s="17" t="s">
        <v>17</v>
      </c>
    </row>
    <row r="1759" spans="1:6" ht="15.6" x14ac:dyDescent="0.3">
      <c r="A1759" s="75">
        <v>43318</v>
      </c>
      <c r="B1759" s="14">
        <v>15</v>
      </c>
      <c r="C1759" s="14">
        <v>15</v>
      </c>
      <c r="D1759" s="14">
        <v>15</v>
      </c>
      <c r="E1759" s="24" t="s">
        <v>56</v>
      </c>
      <c r="F1759" s="17" t="s">
        <v>17</v>
      </c>
    </row>
    <row r="1760" spans="1:6" ht="15.6" x14ac:dyDescent="0.3">
      <c r="A1760" s="75">
        <v>43318</v>
      </c>
      <c r="B1760" s="14">
        <v>11</v>
      </c>
      <c r="C1760" s="14">
        <v>11</v>
      </c>
      <c r="D1760" s="14">
        <v>11</v>
      </c>
      <c r="E1760" s="24" t="s">
        <v>56</v>
      </c>
      <c r="F1760" s="17" t="s">
        <v>17</v>
      </c>
    </row>
    <row r="1761" spans="1:6" ht="15.6" x14ac:dyDescent="0.3">
      <c r="A1761" s="75">
        <v>43332</v>
      </c>
      <c r="B1761" s="57">
        <v>19</v>
      </c>
      <c r="C1761" s="57">
        <v>19</v>
      </c>
      <c r="D1761" s="57">
        <v>19</v>
      </c>
      <c r="E1761" s="24" t="s">
        <v>56</v>
      </c>
      <c r="F1761" s="17" t="s">
        <v>17</v>
      </c>
    </row>
    <row r="1762" spans="1:6" ht="15.6" x14ac:dyDescent="0.3">
      <c r="A1762" s="75">
        <v>43332</v>
      </c>
      <c r="B1762" s="14">
        <v>14</v>
      </c>
      <c r="C1762" s="14">
        <v>14</v>
      </c>
      <c r="D1762" s="14">
        <v>14</v>
      </c>
      <c r="E1762" s="24" t="s">
        <v>56</v>
      </c>
      <c r="F1762" s="17" t="s">
        <v>17</v>
      </c>
    </row>
    <row r="1763" spans="1:6" ht="15.6" x14ac:dyDescent="0.3">
      <c r="A1763" s="75">
        <v>43367</v>
      </c>
      <c r="B1763" s="14">
        <v>24</v>
      </c>
      <c r="C1763" s="14">
        <v>24</v>
      </c>
      <c r="D1763" s="14">
        <v>24</v>
      </c>
      <c r="E1763" s="24" t="s">
        <v>56</v>
      </c>
      <c r="F1763" s="17" t="s">
        <v>17</v>
      </c>
    </row>
    <row r="1764" spans="1:6" ht="15.6" x14ac:dyDescent="0.3">
      <c r="A1764" s="75">
        <v>43367</v>
      </c>
      <c r="B1764" s="14">
        <v>12</v>
      </c>
      <c r="C1764" s="14">
        <v>12</v>
      </c>
      <c r="D1764" s="14">
        <v>12</v>
      </c>
      <c r="E1764" s="24" t="s">
        <v>56</v>
      </c>
      <c r="F1764" s="17" t="s">
        <v>17</v>
      </c>
    </row>
    <row r="1765" spans="1:6" ht="15.6" x14ac:dyDescent="0.3">
      <c r="A1765" s="75">
        <v>43395</v>
      </c>
      <c r="B1765" s="14">
        <v>13</v>
      </c>
      <c r="C1765" s="14">
        <v>13</v>
      </c>
      <c r="D1765" s="14">
        <v>13</v>
      </c>
      <c r="E1765" s="24" t="s">
        <v>56</v>
      </c>
      <c r="F1765" s="17" t="s">
        <v>17</v>
      </c>
    </row>
    <row r="1766" spans="1:6" ht="15.6" x14ac:dyDescent="0.3">
      <c r="A1766" s="75">
        <v>43395</v>
      </c>
      <c r="B1766" s="14">
        <v>17</v>
      </c>
      <c r="C1766" s="14">
        <v>17</v>
      </c>
      <c r="D1766" s="14">
        <v>17</v>
      </c>
      <c r="E1766" s="24" t="s">
        <v>56</v>
      </c>
      <c r="F1766" s="17" t="s">
        <v>17</v>
      </c>
    </row>
    <row r="1767" spans="1:6" ht="15.6" x14ac:dyDescent="0.3">
      <c r="A1767" s="75">
        <v>43430</v>
      </c>
      <c r="B1767" s="14">
        <v>18</v>
      </c>
      <c r="C1767" s="14">
        <v>18</v>
      </c>
      <c r="D1767" s="14">
        <v>18</v>
      </c>
      <c r="E1767" s="24" t="s">
        <v>56</v>
      </c>
      <c r="F1767" s="17" t="s">
        <v>17</v>
      </c>
    </row>
    <row r="1768" spans="1:6" ht="15.6" x14ac:dyDescent="0.3">
      <c r="A1768" s="75">
        <v>43430</v>
      </c>
      <c r="B1768" s="14">
        <v>14</v>
      </c>
      <c r="C1768" s="14">
        <v>14</v>
      </c>
      <c r="D1768" s="14">
        <v>14</v>
      </c>
      <c r="E1768" s="24" t="s">
        <v>56</v>
      </c>
      <c r="F1768" s="17" t="s">
        <v>17</v>
      </c>
    </row>
    <row r="1769" spans="1:6" ht="15.6" x14ac:dyDescent="0.3">
      <c r="A1769" s="75">
        <v>43479</v>
      </c>
      <c r="B1769" s="14">
        <v>21</v>
      </c>
      <c r="C1769" s="14">
        <v>21</v>
      </c>
      <c r="D1769" s="14">
        <v>21</v>
      </c>
      <c r="E1769" s="24" t="s">
        <v>56</v>
      </c>
      <c r="F1769" s="17" t="s">
        <v>17</v>
      </c>
    </row>
    <row r="1770" spans="1:6" ht="15.6" x14ac:dyDescent="0.3">
      <c r="A1770" s="75">
        <v>43479</v>
      </c>
      <c r="B1770" s="14">
        <v>13</v>
      </c>
      <c r="C1770" s="14">
        <v>13</v>
      </c>
      <c r="D1770" s="14">
        <v>13</v>
      </c>
      <c r="E1770" s="24" t="s">
        <v>56</v>
      </c>
      <c r="F1770" s="17" t="s">
        <v>17</v>
      </c>
    </row>
    <row r="1771" spans="1:6" ht="15.6" x14ac:dyDescent="0.3">
      <c r="A1771" s="75">
        <v>43495</v>
      </c>
      <c r="B1771" s="14">
        <v>15</v>
      </c>
      <c r="C1771" s="14">
        <v>15</v>
      </c>
      <c r="D1771" s="14">
        <v>15</v>
      </c>
      <c r="E1771" s="24" t="s">
        <v>56</v>
      </c>
      <c r="F1771" s="17" t="s">
        <v>17</v>
      </c>
    </row>
    <row r="1772" spans="1:6" ht="15.6" x14ac:dyDescent="0.3">
      <c r="A1772" s="75">
        <v>43495</v>
      </c>
      <c r="B1772" s="14">
        <v>12</v>
      </c>
      <c r="C1772" s="14">
        <v>12</v>
      </c>
      <c r="D1772" s="14">
        <v>12</v>
      </c>
      <c r="E1772" s="24" t="s">
        <v>56</v>
      </c>
      <c r="F1772" s="17" t="s">
        <v>17</v>
      </c>
    </row>
    <row r="1773" spans="1:6" ht="15.6" x14ac:dyDescent="0.3">
      <c r="A1773" s="9">
        <v>44725</v>
      </c>
      <c r="B1773" s="14">
        <v>10</v>
      </c>
      <c r="C1773" s="14">
        <v>10</v>
      </c>
      <c r="D1773" s="14">
        <v>10</v>
      </c>
      <c r="E1773" s="24" t="s">
        <v>56</v>
      </c>
      <c r="F1773" s="17" t="s">
        <v>17</v>
      </c>
    </row>
    <row r="1774" spans="1:6" ht="15.6" x14ac:dyDescent="0.3">
      <c r="A1774" s="9">
        <v>44725</v>
      </c>
      <c r="B1774" s="14">
        <v>12</v>
      </c>
      <c r="C1774" s="14">
        <v>12</v>
      </c>
      <c r="D1774" s="14">
        <v>12</v>
      </c>
      <c r="E1774" s="24" t="s">
        <v>56</v>
      </c>
      <c r="F1774" s="17" t="s">
        <v>17</v>
      </c>
    </row>
    <row r="1775" spans="1:6" ht="15.6" x14ac:dyDescent="0.3">
      <c r="A1775" s="75">
        <v>44757</v>
      </c>
      <c r="B1775" s="14">
        <v>3</v>
      </c>
      <c r="C1775" s="14"/>
      <c r="D1775" s="14"/>
      <c r="E1775" s="24" t="s">
        <v>56</v>
      </c>
      <c r="F1775" s="17" t="s">
        <v>17</v>
      </c>
    </row>
    <row r="1776" spans="1:6" ht="15.6" x14ac:dyDescent="0.3">
      <c r="A1776" s="75">
        <v>44757</v>
      </c>
      <c r="B1776" s="14">
        <v>11</v>
      </c>
      <c r="C1776" s="96"/>
      <c r="D1776" s="14"/>
      <c r="E1776" s="24" t="s">
        <v>56</v>
      </c>
      <c r="F1776" s="17" t="s">
        <v>17</v>
      </c>
    </row>
    <row r="1777" spans="1:6" ht="15.6" x14ac:dyDescent="0.3">
      <c r="A1777" s="31">
        <v>43262</v>
      </c>
      <c r="B1777" s="24">
        <v>5</v>
      </c>
      <c r="C1777" s="24">
        <v>5</v>
      </c>
      <c r="D1777" s="24">
        <v>5</v>
      </c>
      <c r="E1777" s="24" t="s">
        <v>57</v>
      </c>
      <c r="F1777" s="17" t="s">
        <v>17</v>
      </c>
    </row>
    <row r="1778" spans="1:6" ht="15.6" x14ac:dyDescent="0.3">
      <c r="A1778" s="31">
        <v>43262</v>
      </c>
      <c r="B1778" s="24">
        <v>5</v>
      </c>
      <c r="C1778" s="24">
        <v>5</v>
      </c>
      <c r="D1778" s="24">
        <v>5</v>
      </c>
      <c r="E1778" s="24" t="s">
        <v>57</v>
      </c>
      <c r="F1778" s="17" t="s">
        <v>17</v>
      </c>
    </row>
    <row r="1779" spans="1:6" ht="15.6" x14ac:dyDescent="0.3">
      <c r="A1779" s="31">
        <v>43262</v>
      </c>
      <c r="B1779" s="24">
        <v>5</v>
      </c>
      <c r="C1779" s="24">
        <v>5</v>
      </c>
      <c r="D1779" s="24">
        <v>5</v>
      </c>
      <c r="E1779" s="24" t="s">
        <v>57</v>
      </c>
      <c r="F1779" s="17" t="s">
        <v>17</v>
      </c>
    </row>
    <row r="1780" spans="1:6" ht="15.6" x14ac:dyDescent="0.3">
      <c r="A1780" s="31">
        <v>43262</v>
      </c>
      <c r="B1780" s="24">
        <v>5</v>
      </c>
      <c r="C1780" s="24">
        <v>5</v>
      </c>
      <c r="D1780" s="24">
        <v>5</v>
      </c>
      <c r="E1780" s="24" t="s">
        <v>57</v>
      </c>
      <c r="F1780" s="17" t="s">
        <v>17</v>
      </c>
    </row>
    <row r="1781" spans="1:6" ht="15.6" x14ac:dyDescent="0.3">
      <c r="A1781" s="31">
        <v>43262</v>
      </c>
      <c r="B1781" s="24">
        <v>5</v>
      </c>
      <c r="C1781" s="24">
        <v>5</v>
      </c>
      <c r="D1781" s="24">
        <v>5</v>
      </c>
      <c r="E1781" s="24" t="s">
        <v>57</v>
      </c>
      <c r="F1781" s="17" t="s">
        <v>17</v>
      </c>
    </row>
    <row r="1782" spans="1:6" ht="15.6" x14ac:dyDescent="0.3">
      <c r="A1782" s="31">
        <v>43262</v>
      </c>
      <c r="B1782" s="24">
        <v>5</v>
      </c>
      <c r="C1782" s="24">
        <v>5</v>
      </c>
      <c r="D1782" s="24">
        <v>5</v>
      </c>
      <c r="E1782" s="24" t="s">
        <v>57</v>
      </c>
      <c r="F1782" s="17" t="s">
        <v>17</v>
      </c>
    </row>
    <row r="1783" spans="1:6" ht="15.6" x14ac:dyDescent="0.3">
      <c r="A1783" s="31">
        <v>43262</v>
      </c>
      <c r="B1783" s="24">
        <v>5</v>
      </c>
      <c r="C1783" s="24">
        <v>5</v>
      </c>
      <c r="D1783" s="24">
        <v>5</v>
      </c>
      <c r="E1783" s="24" t="s">
        <v>57</v>
      </c>
      <c r="F1783" s="17" t="s">
        <v>17</v>
      </c>
    </row>
    <row r="1784" spans="1:6" ht="15.6" x14ac:dyDescent="0.3">
      <c r="A1784" s="31">
        <v>43262</v>
      </c>
      <c r="B1784" s="24">
        <v>5</v>
      </c>
      <c r="C1784" s="24">
        <v>5</v>
      </c>
      <c r="D1784" s="24">
        <v>5</v>
      </c>
      <c r="E1784" s="24" t="s">
        <v>57</v>
      </c>
      <c r="F1784" s="17" t="s">
        <v>17</v>
      </c>
    </row>
    <row r="1785" spans="1:6" ht="15.6" x14ac:dyDescent="0.3">
      <c r="A1785" s="31">
        <v>43264</v>
      </c>
      <c r="B1785" s="24">
        <v>5</v>
      </c>
      <c r="C1785" s="24">
        <v>5</v>
      </c>
      <c r="D1785" s="24">
        <v>5</v>
      </c>
      <c r="E1785" s="24" t="s">
        <v>57</v>
      </c>
      <c r="F1785" s="17" t="s">
        <v>17</v>
      </c>
    </row>
    <row r="1786" spans="1:6" ht="15.6" x14ac:dyDescent="0.3">
      <c r="A1786" s="31">
        <v>43264</v>
      </c>
      <c r="B1786" s="24">
        <v>5</v>
      </c>
      <c r="C1786" s="24">
        <v>5</v>
      </c>
      <c r="D1786" s="24">
        <v>5</v>
      </c>
      <c r="E1786" s="24" t="s">
        <v>57</v>
      </c>
      <c r="F1786" s="17" t="s">
        <v>17</v>
      </c>
    </row>
    <row r="1787" spans="1:6" ht="15.6" x14ac:dyDescent="0.3">
      <c r="A1787" s="31">
        <v>43264</v>
      </c>
      <c r="B1787" s="24">
        <v>5</v>
      </c>
      <c r="C1787" s="24">
        <v>5</v>
      </c>
      <c r="D1787" s="24">
        <v>5</v>
      </c>
      <c r="E1787" s="24" t="s">
        <v>57</v>
      </c>
      <c r="F1787" s="17" t="s">
        <v>17</v>
      </c>
    </row>
    <row r="1788" spans="1:6" ht="15.6" x14ac:dyDescent="0.3">
      <c r="A1788" s="31">
        <v>43264</v>
      </c>
      <c r="B1788" s="24">
        <v>5</v>
      </c>
      <c r="C1788" s="24">
        <v>5</v>
      </c>
      <c r="D1788" s="24">
        <v>5</v>
      </c>
      <c r="E1788" s="24" t="s">
        <v>57</v>
      </c>
      <c r="F1788" s="17" t="s">
        <v>17</v>
      </c>
    </row>
    <row r="1789" spans="1:6" ht="15.6" x14ac:dyDescent="0.3">
      <c r="A1789" s="31">
        <v>43264</v>
      </c>
      <c r="B1789" s="24">
        <v>5</v>
      </c>
      <c r="C1789" s="24">
        <v>5</v>
      </c>
      <c r="D1789" s="24">
        <v>5</v>
      </c>
      <c r="E1789" s="24" t="s">
        <v>57</v>
      </c>
      <c r="F1789" s="17" t="s">
        <v>17</v>
      </c>
    </row>
    <row r="1790" spans="1:6" ht="15.6" x14ac:dyDescent="0.3">
      <c r="A1790" s="31">
        <v>43264</v>
      </c>
      <c r="B1790" s="24">
        <v>5</v>
      </c>
      <c r="C1790" s="24">
        <v>5</v>
      </c>
      <c r="D1790" s="24">
        <v>5</v>
      </c>
      <c r="E1790" s="24" t="s">
        <v>57</v>
      </c>
      <c r="F1790" s="17" t="s">
        <v>17</v>
      </c>
    </row>
    <row r="1791" spans="1:6" ht="15.6" x14ac:dyDescent="0.3">
      <c r="A1791" s="31">
        <v>43264</v>
      </c>
      <c r="B1791" s="24">
        <v>5</v>
      </c>
      <c r="C1791" s="24">
        <v>5</v>
      </c>
      <c r="D1791" s="24">
        <v>5</v>
      </c>
      <c r="E1791" s="24" t="s">
        <v>57</v>
      </c>
      <c r="F1791" s="17" t="s">
        <v>17</v>
      </c>
    </row>
    <row r="1792" spans="1:6" ht="15.6" x14ac:dyDescent="0.3">
      <c r="A1792" s="31">
        <v>43264</v>
      </c>
      <c r="B1792" s="24">
        <v>5</v>
      </c>
      <c r="C1792" s="24">
        <v>5</v>
      </c>
      <c r="D1792" s="24">
        <v>5</v>
      </c>
      <c r="E1792" s="24" t="s">
        <v>57</v>
      </c>
      <c r="F1792" s="17" t="s">
        <v>17</v>
      </c>
    </row>
    <row r="1793" spans="1:6" ht="15.6" x14ac:dyDescent="0.3">
      <c r="A1793" s="31">
        <v>43269</v>
      </c>
      <c r="B1793" s="24">
        <v>5</v>
      </c>
      <c r="C1793" s="24">
        <v>5</v>
      </c>
      <c r="D1793" s="24">
        <v>5</v>
      </c>
      <c r="E1793" s="24" t="s">
        <v>57</v>
      </c>
      <c r="F1793" s="17" t="s">
        <v>17</v>
      </c>
    </row>
    <row r="1794" spans="1:6" ht="15.6" x14ac:dyDescent="0.3">
      <c r="A1794" s="31">
        <v>43269</v>
      </c>
      <c r="B1794" s="24">
        <v>5</v>
      </c>
      <c r="C1794" s="24">
        <v>5</v>
      </c>
      <c r="D1794" s="24">
        <v>5</v>
      </c>
      <c r="E1794" s="24" t="s">
        <v>57</v>
      </c>
      <c r="F1794" s="17" t="s">
        <v>17</v>
      </c>
    </row>
    <row r="1795" spans="1:6" ht="15.6" x14ac:dyDescent="0.3">
      <c r="A1795" s="31">
        <v>43269</v>
      </c>
      <c r="B1795" s="24">
        <v>5</v>
      </c>
      <c r="C1795" s="24">
        <v>5</v>
      </c>
      <c r="D1795" s="24">
        <v>5</v>
      </c>
      <c r="E1795" s="24" t="s">
        <v>57</v>
      </c>
      <c r="F1795" s="17" t="s">
        <v>17</v>
      </c>
    </row>
    <row r="1796" spans="1:6" ht="15.6" x14ac:dyDescent="0.3">
      <c r="A1796" s="31">
        <v>43269</v>
      </c>
      <c r="B1796" s="24">
        <v>5</v>
      </c>
      <c r="C1796" s="24">
        <v>5</v>
      </c>
      <c r="D1796" s="24">
        <v>5</v>
      </c>
      <c r="E1796" s="24" t="s">
        <v>57</v>
      </c>
      <c r="F1796" s="17" t="s">
        <v>17</v>
      </c>
    </row>
    <row r="1797" spans="1:6" ht="16.2" thickBot="1" x14ac:dyDescent="0.35">
      <c r="A1797" s="97">
        <v>43269</v>
      </c>
      <c r="B1797" s="61">
        <v>4</v>
      </c>
      <c r="C1797" s="61">
        <v>4</v>
      </c>
      <c r="D1797" s="61">
        <v>4</v>
      </c>
      <c r="E1797" s="24" t="s">
        <v>57</v>
      </c>
      <c r="F1797" s="17" t="s">
        <v>17</v>
      </c>
    </row>
    <row r="1798" spans="1:6" ht="15.6" x14ac:dyDescent="0.3">
      <c r="A1798" s="31">
        <v>43273</v>
      </c>
      <c r="B1798" s="24">
        <v>10</v>
      </c>
      <c r="C1798" s="24">
        <v>10</v>
      </c>
      <c r="D1798" s="24">
        <v>10</v>
      </c>
      <c r="E1798" s="24" t="s">
        <v>57</v>
      </c>
      <c r="F1798" s="17" t="s">
        <v>17</v>
      </c>
    </row>
    <row r="1799" spans="1:6" ht="15.6" x14ac:dyDescent="0.3">
      <c r="A1799" s="31">
        <v>43273</v>
      </c>
      <c r="B1799" s="24">
        <v>10</v>
      </c>
      <c r="C1799" s="24">
        <v>10</v>
      </c>
      <c r="D1799" s="24">
        <v>10</v>
      </c>
      <c r="E1799" s="24" t="s">
        <v>57</v>
      </c>
      <c r="F1799" s="17" t="s">
        <v>17</v>
      </c>
    </row>
    <row r="1800" spans="1:6" ht="15.6" x14ac:dyDescent="0.3">
      <c r="A1800" s="31">
        <v>43273</v>
      </c>
      <c r="B1800" s="24">
        <v>10</v>
      </c>
      <c r="C1800" s="24">
        <v>10</v>
      </c>
      <c r="D1800" s="24">
        <v>10</v>
      </c>
      <c r="E1800" s="24" t="s">
        <v>57</v>
      </c>
      <c r="F1800" s="17" t="s">
        <v>17</v>
      </c>
    </row>
    <row r="1801" spans="1:6" ht="15.6" x14ac:dyDescent="0.3">
      <c r="A1801" s="31">
        <v>43283</v>
      </c>
      <c r="B1801" s="24">
        <v>13</v>
      </c>
      <c r="C1801" s="24">
        <v>13</v>
      </c>
      <c r="D1801" s="24">
        <v>13</v>
      </c>
      <c r="E1801" s="24" t="s">
        <v>57</v>
      </c>
      <c r="F1801" s="17" t="s">
        <v>17</v>
      </c>
    </row>
    <row r="1802" spans="1:6" ht="15.6" x14ac:dyDescent="0.3">
      <c r="A1802" s="31">
        <v>43283</v>
      </c>
      <c r="B1802" s="24">
        <v>14</v>
      </c>
      <c r="C1802" s="24">
        <v>14</v>
      </c>
      <c r="D1802" s="24">
        <v>14</v>
      </c>
      <c r="E1802" s="24" t="s">
        <v>57</v>
      </c>
      <c r="F1802" s="17" t="s">
        <v>17</v>
      </c>
    </row>
    <row r="1803" spans="1:6" ht="15.6" x14ac:dyDescent="0.3">
      <c r="A1803" s="31">
        <v>43283</v>
      </c>
      <c r="B1803" s="24">
        <v>3</v>
      </c>
      <c r="C1803" s="24">
        <v>3</v>
      </c>
      <c r="D1803" s="24">
        <v>3</v>
      </c>
      <c r="E1803" s="24" t="s">
        <v>57</v>
      </c>
      <c r="F1803" s="17" t="s">
        <v>17</v>
      </c>
    </row>
    <row r="1804" spans="1:6" ht="15.6" x14ac:dyDescent="0.3">
      <c r="A1804" s="31">
        <v>43306</v>
      </c>
      <c r="B1804" s="24">
        <v>20</v>
      </c>
      <c r="C1804" s="24">
        <v>20</v>
      </c>
      <c r="D1804" s="24">
        <v>20</v>
      </c>
      <c r="E1804" s="24" t="s">
        <v>57</v>
      </c>
      <c r="F1804" s="17" t="s">
        <v>17</v>
      </c>
    </row>
    <row r="1805" spans="1:6" ht="15.6" x14ac:dyDescent="0.3">
      <c r="A1805" s="31">
        <v>43306</v>
      </c>
      <c r="B1805" s="24">
        <v>10</v>
      </c>
      <c r="C1805" s="24">
        <v>10</v>
      </c>
      <c r="D1805" s="24">
        <v>10</v>
      </c>
      <c r="E1805" s="24" t="s">
        <v>57</v>
      </c>
      <c r="F1805" s="17" t="s">
        <v>17</v>
      </c>
    </row>
    <row r="1806" spans="1:6" ht="15.6" x14ac:dyDescent="0.3">
      <c r="A1806" s="31">
        <v>43399</v>
      </c>
      <c r="B1806" s="24">
        <v>11</v>
      </c>
      <c r="C1806" s="24">
        <v>11</v>
      </c>
      <c r="D1806" s="24">
        <v>11</v>
      </c>
      <c r="E1806" s="24" t="s">
        <v>57</v>
      </c>
      <c r="F1806" s="17" t="s">
        <v>17</v>
      </c>
    </row>
    <row r="1807" spans="1:6" ht="15.6" x14ac:dyDescent="0.3">
      <c r="A1807" s="31">
        <v>43399</v>
      </c>
      <c r="B1807" s="24">
        <v>10</v>
      </c>
      <c r="C1807" s="24">
        <v>10</v>
      </c>
      <c r="D1807" s="24">
        <v>10</v>
      </c>
      <c r="E1807" s="24" t="s">
        <v>57</v>
      </c>
      <c r="F1807" s="17" t="s">
        <v>17</v>
      </c>
    </row>
    <row r="1808" spans="1:6" ht="15.6" x14ac:dyDescent="0.3">
      <c r="A1808" s="31">
        <v>43409</v>
      </c>
      <c r="B1808" s="24">
        <v>24</v>
      </c>
      <c r="C1808" s="24">
        <v>24</v>
      </c>
      <c r="D1808" s="24">
        <v>24</v>
      </c>
      <c r="E1808" s="24" t="s">
        <v>57</v>
      </c>
      <c r="F1808" s="17" t="s">
        <v>17</v>
      </c>
    </row>
    <row r="1809" spans="1:6" ht="15.6" x14ac:dyDescent="0.3">
      <c r="A1809" s="31">
        <v>43497</v>
      </c>
      <c r="B1809" s="24">
        <v>19</v>
      </c>
      <c r="C1809" s="24">
        <v>19</v>
      </c>
      <c r="D1809" s="24">
        <v>19</v>
      </c>
      <c r="E1809" s="24" t="s">
        <v>57</v>
      </c>
      <c r="F1809" s="17" t="s">
        <v>17</v>
      </c>
    </row>
    <row r="1810" spans="1:6" ht="15.6" x14ac:dyDescent="0.3">
      <c r="A1810" s="31">
        <v>43507</v>
      </c>
      <c r="B1810" s="24">
        <v>1</v>
      </c>
      <c r="C1810" s="24">
        <v>1</v>
      </c>
      <c r="D1810" s="24">
        <v>1</v>
      </c>
      <c r="E1810" s="24" t="s">
        <v>57</v>
      </c>
      <c r="F1810" s="17" t="s">
        <v>17</v>
      </c>
    </row>
    <row r="1811" spans="1:6" ht="15.6" x14ac:dyDescent="0.3">
      <c r="A1811" s="31">
        <v>43579</v>
      </c>
      <c r="B1811" s="24">
        <v>21</v>
      </c>
      <c r="C1811" s="24">
        <v>21</v>
      </c>
      <c r="D1811" s="24">
        <v>21</v>
      </c>
      <c r="E1811" s="24" t="s">
        <v>57</v>
      </c>
      <c r="F1811" s="17" t="s">
        <v>17</v>
      </c>
    </row>
    <row r="1812" spans="1:6" ht="15.6" x14ac:dyDescent="0.3">
      <c r="A1812" s="76">
        <v>43614</v>
      </c>
      <c r="B1812" s="54">
        <v>11</v>
      </c>
      <c r="C1812" s="54">
        <v>11</v>
      </c>
      <c r="D1812" s="24">
        <v>11</v>
      </c>
      <c r="E1812" s="24" t="s">
        <v>57</v>
      </c>
      <c r="F1812" s="17" t="s">
        <v>17</v>
      </c>
    </row>
    <row r="1813" spans="1:6" ht="15.6" x14ac:dyDescent="0.3">
      <c r="A1813" s="76">
        <v>43614</v>
      </c>
      <c r="B1813" s="54">
        <v>9</v>
      </c>
      <c r="C1813" s="54">
        <v>9</v>
      </c>
      <c r="D1813" s="24">
        <v>9</v>
      </c>
      <c r="E1813" s="24" t="s">
        <v>57</v>
      </c>
      <c r="F1813" s="17" t="s">
        <v>17</v>
      </c>
    </row>
    <row r="1814" spans="1:6" ht="15.6" x14ac:dyDescent="0.3">
      <c r="A1814" s="31">
        <v>43693</v>
      </c>
      <c r="B1814" s="24">
        <v>21</v>
      </c>
      <c r="C1814" s="24">
        <v>21</v>
      </c>
      <c r="D1814" s="24">
        <v>21</v>
      </c>
      <c r="E1814" s="24" t="s">
        <v>57</v>
      </c>
      <c r="F1814" s="17" t="s">
        <v>17</v>
      </c>
    </row>
    <row r="1815" spans="1:6" ht="15.6" x14ac:dyDescent="0.3">
      <c r="A1815" s="31">
        <v>43747</v>
      </c>
      <c r="B1815" s="24">
        <v>30</v>
      </c>
      <c r="C1815" s="24">
        <v>30</v>
      </c>
      <c r="D1815" s="24">
        <v>30</v>
      </c>
      <c r="E1815" s="24" t="s">
        <v>57</v>
      </c>
      <c r="F1815" s="17" t="s">
        <v>17</v>
      </c>
    </row>
    <row r="1816" spans="1:6" ht="15.6" x14ac:dyDescent="0.3">
      <c r="A1816" s="31">
        <v>43798</v>
      </c>
      <c r="B1816" s="24">
        <v>20</v>
      </c>
      <c r="C1816" s="24">
        <v>20</v>
      </c>
      <c r="D1816" s="24">
        <v>20</v>
      </c>
      <c r="E1816" s="24" t="s">
        <v>57</v>
      </c>
      <c r="F1816" s="17" t="s">
        <v>17</v>
      </c>
    </row>
    <row r="1817" spans="1:6" ht="15.6" x14ac:dyDescent="0.3">
      <c r="A1817" s="31">
        <v>43808</v>
      </c>
      <c r="B1817" s="24">
        <v>20</v>
      </c>
      <c r="C1817" s="24">
        <v>20</v>
      </c>
      <c r="D1817" s="24">
        <v>20</v>
      </c>
      <c r="E1817" s="24" t="s">
        <v>57</v>
      </c>
      <c r="F1817" s="17" t="s">
        <v>17</v>
      </c>
    </row>
    <row r="1818" spans="1:6" ht="15.6" x14ac:dyDescent="0.3">
      <c r="A1818" s="31">
        <v>43908</v>
      </c>
      <c r="B1818" s="24">
        <v>20</v>
      </c>
      <c r="C1818" s="48">
        <v>18</v>
      </c>
      <c r="D1818" s="24">
        <v>18</v>
      </c>
      <c r="E1818" s="24" t="s">
        <v>57</v>
      </c>
      <c r="F1818" s="17" t="s">
        <v>17</v>
      </c>
    </row>
    <row r="1819" spans="1:6" ht="15.6" x14ac:dyDescent="0.3">
      <c r="A1819" s="76">
        <v>44006</v>
      </c>
      <c r="B1819" s="24">
        <v>17</v>
      </c>
      <c r="C1819" s="56">
        <v>17</v>
      </c>
      <c r="D1819" s="24">
        <v>17</v>
      </c>
      <c r="E1819" s="24" t="s">
        <v>57</v>
      </c>
      <c r="F1819" s="17" t="s">
        <v>17</v>
      </c>
    </row>
    <row r="1820" spans="1:6" ht="15.6" x14ac:dyDescent="0.3">
      <c r="A1820" s="76">
        <v>44006</v>
      </c>
      <c r="B1820" s="24">
        <v>15</v>
      </c>
      <c r="C1820" s="56">
        <v>15</v>
      </c>
      <c r="D1820" s="24">
        <v>15</v>
      </c>
      <c r="E1820" s="24" t="s">
        <v>57</v>
      </c>
      <c r="F1820" s="17" t="s">
        <v>17</v>
      </c>
    </row>
    <row r="1821" spans="1:6" ht="15.6" x14ac:dyDescent="0.3">
      <c r="A1821" s="31">
        <v>44083</v>
      </c>
      <c r="B1821" s="24">
        <v>20</v>
      </c>
      <c r="C1821" s="56">
        <v>20</v>
      </c>
      <c r="D1821" s="24">
        <v>20</v>
      </c>
      <c r="E1821" s="24" t="s">
        <v>57</v>
      </c>
      <c r="F1821" s="17" t="s">
        <v>17</v>
      </c>
    </row>
    <row r="1822" spans="1:6" ht="15.6" x14ac:dyDescent="0.3">
      <c r="A1822" s="76">
        <v>44113</v>
      </c>
      <c r="B1822" s="24">
        <v>15</v>
      </c>
      <c r="C1822" s="56">
        <v>15</v>
      </c>
      <c r="D1822" s="24">
        <v>15</v>
      </c>
      <c r="E1822" s="24" t="s">
        <v>57</v>
      </c>
      <c r="F1822" s="17" t="s">
        <v>17</v>
      </c>
    </row>
    <row r="1823" spans="1:6" ht="15.6" x14ac:dyDescent="0.3">
      <c r="A1823" s="76">
        <v>44113</v>
      </c>
      <c r="B1823" s="24">
        <v>15</v>
      </c>
      <c r="C1823" s="56">
        <v>15</v>
      </c>
      <c r="D1823" s="24">
        <v>15</v>
      </c>
      <c r="E1823" s="24" t="s">
        <v>57</v>
      </c>
      <c r="F1823" s="17" t="s">
        <v>17</v>
      </c>
    </row>
    <row r="1824" spans="1:6" ht="15.6" x14ac:dyDescent="0.3">
      <c r="A1824" s="31">
        <v>44139</v>
      </c>
      <c r="B1824" s="24">
        <v>17</v>
      </c>
      <c r="C1824" s="24">
        <v>17</v>
      </c>
      <c r="D1824" s="24">
        <v>17</v>
      </c>
      <c r="E1824" s="24" t="s">
        <v>57</v>
      </c>
      <c r="F1824" s="17" t="s">
        <v>17</v>
      </c>
    </row>
    <row r="1825" spans="1:6" ht="15.6" x14ac:dyDescent="0.3">
      <c r="A1825" s="31">
        <v>44182</v>
      </c>
      <c r="B1825" s="24">
        <v>19</v>
      </c>
      <c r="C1825" s="24">
        <v>19</v>
      </c>
      <c r="D1825" s="24">
        <v>19</v>
      </c>
      <c r="E1825" s="24" t="s">
        <v>57</v>
      </c>
      <c r="F1825" s="17" t="s">
        <v>17</v>
      </c>
    </row>
    <row r="1826" spans="1:6" ht="15.6" x14ac:dyDescent="0.3">
      <c r="A1826" s="31">
        <v>44405</v>
      </c>
      <c r="B1826" s="24">
        <v>15</v>
      </c>
      <c r="C1826" s="24">
        <v>11</v>
      </c>
      <c r="D1826" s="24">
        <v>11</v>
      </c>
      <c r="E1826" s="24" t="s">
        <v>57</v>
      </c>
      <c r="F1826" s="17" t="s">
        <v>17</v>
      </c>
    </row>
    <row r="1827" spans="1:6" ht="15.6" x14ac:dyDescent="0.3">
      <c r="A1827" s="31">
        <v>44608</v>
      </c>
      <c r="B1827" s="24">
        <v>16</v>
      </c>
      <c r="C1827" s="24">
        <v>14</v>
      </c>
      <c r="D1827" s="24">
        <v>14</v>
      </c>
      <c r="E1827" s="24" t="s">
        <v>57</v>
      </c>
      <c r="F1827" s="17" t="s">
        <v>17</v>
      </c>
    </row>
    <row r="1828" spans="1:6" ht="15.6" x14ac:dyDescent="0.3">
      <c r="A1828" s="31">
        <v>44767</v>
      </c>
      <c r="B1828" s="24">
        <v>20</v>
      </c>
      <c r="C1828" s="24">
        <v>18</v>
      </c>
      <c r="D1828" s="24">
        <v>18</v>
      </c>
      <c r="E1828" s="24" t="s">
        <v>57</v>
      </c>
      <c r="F1828" s="17" t="s">
        <v>17</v>
      </c>
    </row>
    <row r="1829" spans="1:6" ht="15.6" x14ac:dyDescent="0.3">
      <c r="A1829" s="31">
        <v>44856</v>
      </c>
      <c r="B1829" s="24">
        <v>20</v>
      </c>
      <c r="C1829" s="56">
        <v>16</v>
      </c>
      <c r="D1829" s="56">
        <v>16</v>
      </c>
      <c r="E1829" s="24" t="s">
        <v>57</v>
      </c>
      <c r="F1829" s="17" t="s">
        <v>17</v>
      </c>
    </row>
    <row r="1830" spans="1:6" ht="15.6" x14ac:dyDescent="0.3">
      <c r="A1830" s="31">
        <v>44888</v>
      </c>
      <c r="B1830" s="24">
        <v>28</v>
      </c>
      <c r="C1830" s="56">
        <v>20</v>
      </c>
      <c r="D1830" s="56">
        <v>20</v>
      </c>
      <c r="E1830" s="24" t="s">
        <v>57</v>
      </c>
      <c r="F1830" s="17" t="s">
        <v>17</v>
      </c>
    </row>
    <row r="1831" spans="1:6" ht="15.6" x14ac:dyDescent="0.3">
      <c r="A1831" s="31">
        <v>43258</v>
      </c>
      <c r="B1831" s="24">
        <v>118</v>
      </c>
      <c r="C1831" s="24">
        <v>118</v>
      </c>
      <c r="D1831" s="24">
        <v>118</v>
      </c>
      <c r="E1831" s="26" t="s">
        <v>58</v>
      </c>
      <c r="F1831" s="17" t="s">
        <v>17</v>
      </c>
    </row>
    <row r="1832" spans="1:6" ht="15.6" x14ac:dyDescent="0.3">
      <c r="A1832" s="31">
        <v>43291</v>
      </c>
      <c r="B1832" s="24">
        <v>60</v>
      </c>
      <c r="C1832" s="24">
        <v>60</v>
      </c>
      <c r="D1832" s="24">
        <v>60</v>
      </c>
      <c r="E1832" s="26" t="s">
        <v>58</v>
      </c>
      <c r="F1832" s="17" t="s">
        <v>17</v>
      </c>
    </row>
    <row r="1833" spans="1:6" ht="15.6" x14ac:dyDescent="0.3">
      <c r="A1833" s="31">
        <v>43302</v>
      </c>
      <c r="B1833" s="24">
        <v>53</v>
      </c>
      <c r="C1833" s="24">
        <v>53</v>
      </c>
      <c r="D1833" s="24">
        <v>53</v>
      </c>
      <c r="E1833" s="26" t="s">
        <v>58</v>
      </c>
      <c r="F1833" s="17" t="s">
        <v>17</v>
      </c>
    </row>
    <row r="1834" spans="1:6" ht="15.6" x14ac:dyDescent="0.3">
      <c r="A1834" s="31">
        <v>43427</v>
      </c>
      <c r="B1834" s="24">
        <v>156</v>
      </c>
      <c r="C1834" s="24">
        <v>156</v>
      </c>
      <c r="D1834" s="24">
        <v>156</v>
      </c>
      <c r="E1834" s="26" t="s">
        <v>58</v>
      </c>
      <c r="F1834" s="17" t="s">
        <v>17</v>
      </c>
    </row>
    <row r="1835" spans="1:6" ht="15.6" x14ac:dyDescent="0.3">
      <c r="A1835" s="98">
        <v>43231</v>
      </c>
      <c r="B1835" s="24">
        <v>16</v>
      </c>
      <c r="C1835" s="24">
        <f>B1835</f>
        <v>16</v>
      </c>
      <c r="D1835" s="24">
        <f>B1835</f>
        <v>16</v>
      </c>
      <c r="E1835" s="26" t="s">
        <v>59</v>
      </c>
      <c r="F1835" s="17" t="s">
        <v>17</v>
      </c>
    </row>
    <row r="1836" spans="1:6" ht="15.6" x14ac:dyDescent="0.3">
      <c r="A1836" s="98">
        <v>43236</v>
      </c>
      <c r="B1836" s="24">
        <v>15</v>
      </c>
      <c r="C1836" s="24">
        <f t="shared" ref="C1836:C1838" si="1">B1836</f>
        <v>15</v>
      </c>
      <c r="D1836" s="24">
        <f t="shared" ref="D1836:D1838" si="2">B1836</f>
        <v>15</v>
      </c>
      <c r="E1836" s="26" t="s">
        <v>59</v>
      </c>
      <c r="F1836" s="17" t="s">
        <v>17</v>
      </c>
    </row>
    <row r="1837" spans="1:6" ht="15.6" x14ac:dyDescent="0.3">
      <c r="A1837" s="98">
        <v>43238</v>
      </c>
      <c r="B1837" s="24">
        <v>16</v>
      </c>
      <c r="C1837" s="24">
        <f t="shared" si="1"/>
        <v>16</v>
      </c>
      <c r="D1837" s="24">
        <f t="shared" si="2"/>
        <v>16</v>
      </c>
      <c r="E1837" s="26" t="s">
        <v>59</v>
      </c>
      <c r="F1837" s="17" t="s">
        <v>17</v>
      </c>
    </row>
    <row r="1838" spans="1:6" ht="15.6" x14ac:dyDescent="0.3">
      <c r="A1838" s="98">
        <v>43241</v>
      </c>
      <c r="B1838" s="24">
        <v>13</v>
      </c>
      <c r="C1838" s="24">
        <f t="shared" si="1"/>
        <v>13</v>
      </c>
      <c r="D1838" s="24">
        <f t="shared" si="2"/>
        <v>13</v>
      </c>
      <c r="E1838" s="26" t="s">
        <v>59</v>
      </c>
      <c r="F1838" s="17" t="s">
        <v>17</v>
      </c>
    </row>
    <row r="1839" spans="1:6" ht="15.6" x14ac:dyDescent="0.3">
      <c r="A1839" s="98">
        <v>43207</v>
      </c>
      <c r="B1839" s="62">
        <v>3</v>
      </c>
      <c r="C1839" s="62">
        <v>3</v>
      </c>
      <c r="D1839" s="62">
        <v>3</v>
      </c>
      <c r="E1839" s="26" t="s">
        <v>60</v>
      </c>
      <c r="F1839" s="17" t="s">
        <v>17</v>
      </c>
    </row>
    <row r="1840" spans="1:6" ht="15.6" x14ac:dyDescent="0.3">
      <c r="A1840" s="98">
        <v>43207</v>
      </c>
      <c r="B1840" s="62">
        <v>3</v>
      </c>
      <c r="C1840" s="62">
        <v>3</v>
      </c>
      <c r="D1840" s="62">
        <v>3</v>
      </c>
      <c r="E1840" s="26" t="s">
        <v>60</v>
      </c>
      <c r="F1840" s="17" t="s">
        <v>17</v>
      </c>
    </row>
    <row r="1841" spans="1:6" ht="15.6" x14ac:dyDescent="0.3">
      <c r="A1841" s="98">
        <v>43207</v>
      </c>
      <c r="B1841" s="62">
        <v>3</v>
      </c>
      <c r="C1841" s="62">
        <v>3</v>
      </c>
      <c r="D1841" s="62">
        <v>3</v>
      </c>
      <c r="E1841" s="26" t="s">
        <v>60</v>
      </c>
      <c r="F1841" s="17" t="s">
        <v>17</v>
      </c>
    </row>
    <row r="1842" spans="1:6" ht="15.6" x14ac:dyDescent="0.3">
      <c r="A1842" s="98">
        <v>43207</v>
      </c>
      <c r="B1842" s="62">
        <v>3</v>
      </c>
      <c r="C1842" s="62">
        <v>3</v>
      </c>
      <c r="D1842" s="62">
        <v>3</v>
      </c>
      <c r="E1842" s="26" t="s">
        <v>60</v>
      </c>
      <c r="F1842" s="17" t="s">
        <v>17</v>
      </c>
    </row>
    <row r="1843" spans="1:6" ht="15.6" x14ac:dyDescent="0.3">
      <c r="A1843" s="98">
        <v>43210</v>
      </c>
      <c r="B1843" s="62">
        <v>3</v>
      </c>
      <c r="C1843" s="62">
        <v>3</v>
      </c>
      <c r="D1843" s="62">
        <v>3</v>
      </c>
      <c r="E1843" s="26" t="s">
        <v>60</v>
      </c>
      <c r="F1843" s="17" t="s">
        <v>17</v>
      </c>
    </row>
    <row r="1844" spans="1:6" ht="15.6" x14ac:dyDescent="0.3">
      <c r="A1844" s="98">
        <v>43210</v>
      </c>
      <c r="B1844" s="62">
        <v>3</v>
      </c>
      <c r="C1844" s="62">
        <v>3</v>
      </c>
      <c r="D1844" s="62">
        <v>3</v>
      </c>
      <c r="E1844" s="26" t="s">
        <v>60</v>
      </c>
      <c r="F1844" s="17" t="s">
        <v>17</v>
      </c>
    </row>
    <row r="1845" spans="1:6" ht="15.6" x14ac:dyDescent="0.3">
      <c r="A1845" s="98">
        <v>43210</v>
      </c>
      <c r="B1845" s="62">
        <v>3</v>
      </c>
      <c r="C1845" s="62">
        <v>3</v>
      </c>
      <c r="D1845" s="62">
        <v>3</v>
      </c>
      <c r="E1845" s="26" t="s">
        <v>60</v>
      </c>
      <c r="F1845" s="17" t="s">
        <v>17</v>
      </c>
    </row>
    <row r="1846" spans="1:6" ht="15.6" x14ac:dyDescent="0.3">
      <c r="A1846" s="98">
        <v>43210</v>
      </c>
      <c r="B1846" s="62">
        <v>3</v>
      </c>
      <c r="C1846" s="62">
        <v>3</v>
      </c>
      <c r="D1846" s="62">
        <v>3</v>
      </c>
      <c r="E1846" s="26" t="s">
        <v>60</v>
      </c>
      <c r="F1846" s="17" t="s">
        <v>17</v>
      </c>
    </row>
    <row r="1847" spans="1:6" ht="15.6" x14ac:dyDescent="0.3">
      <c r="A1847" s="98">
        <v>43217</v>
      </c>
      <c r="B1847" s="62">
        <v>3</v>
      </c>
      <c r="C1847" s="62">
        <v>3</v>
      </c>
      <c r="D1847" s="62">
        <v>3</v>
      </c>
      <c r="E1847" s="26" t="s">
        <v>60</v>
      </c>
      <c r="F1847" s="17" t="s">
        <v>17</v>
      </c>
    </row>
    <row r="1848" spans="1:6" ht="15.6" x14ac:dyDescent="0.3">
      <c r="A1848" s="98">
        <v>43217</v>
      </c>
      <c r="B1848" s="62">
        <v>3</v>
      </c>
      <c r="C1848" s="62">
        <v>3</v>
      </c>
      <c r="D1848" s="62">
        <v>3</v>
      </c>
      <c r="E1848" s="26" t="s">
        <v>60</v>
      </c>
      <c r="F1848" s="17" t="s">
        <v>17</v>
      </c>
    </row>
    <row r="1849" spans="1:6" ht="15.6" x14ac:dyDescent="0.3">
      <c r="A1849" s="98">
        <v>43217</v>
      </c>
      <c r="B1849" s="62">
        <v>3</v>
      </c>
      <c r="C1849" s="62">
        <v>3</v>
      </c>
      <c r="D1849" s="62">
        <v>3</v>
      </c>
      <c r="E1849" s="26" t="s">
        <v>60</v>
      </c>
      <c r="F1849" s="17" t="s">
        <v>17</v>
      </c>
    </row>
    <row r="1850" spans="1:6" ht="15.6" x14ac:dyDescent="0.3">
      <c r="A1850" s="98">
        <v>43217</v>
      </c>
      <c r="B1850" s="62">
        <v>3</v>
      </c>
      <c r="C1850" s="62">
        <v>3</v>
      </c>
      <c r="D1850" s="62">
        <v>3</v>
      </c>
      <c r="E1850" s="26" t="s">
        <v>60</v>
      </c>
      <c r="F1850" s="17" t="s">
        <v>17</v>
      </c>
    </row>
    <row r="1851" spans="1:6" ht="15.6" x14ac:dyDescent="0.3">
      <c r="A1851" s="98">
        <v>43222</v>
      </c>
      <c r="B1851" s="62">
        <v>3</v>
      </c>
      <c r="C1851" s="62">
        <v>3</v>
      </c>
      <c r="D1851" s="62">
        <v>3</v>
      </c>
      <c r="E1851" s="26" t="s">
        <v>60</v>
      </c>
      <c r="F1851" s="17" t="s">
        <v>17</v>
      </c>
    </row>
    <row r="1852" spans="1:6" ht="15.6" x14ac:dyDescent="0.3">
      <c r="A1852" s="98">
        <v>43222</v>
      </c>
      <c r="B1852" s="62">
        <v>3</v>
      </c>
      <c r="C1852" s="62">
        <v>3</v>
      </c>
      <c r="D1852" s="62">
        <v>3</v>
      </c>
      <c r="E1852" s="26" t="s">
        <v>60</v>
      </c>
      <c r="F1852" s="17" t="s">
        <v>17</v>
      </c>
    </row>
    <row r="1853" spans="1:6" ht="15.6" x14ac:dyDescent="0.3">
      <c r="A1853" s="98">
        <v>43222</v>
      </c>
      <c r="B1853" s="62">
        <v>3</v>
      </c>
      <c r="C1853" s="62">
        <v>3</v>
      </c>
      <c r="D1853" s="62">
        <v>3</v>
      </c>
      <c r="E1853" s="26" t="s">
        <v>60</v>
      </c>
      <c r="F1853" s="17" t="s">
        <v>17</v>
      </c>
    </row>
    <row r="1854" spans="1:6" ht="15.6" x14ac:dyDescent="0.3">
      <c r="A1854" s="98">
        <v>43222</v>
      </c>
      <c r="B1854" s="62">
        <v>3</v>
      </c>
      <c r="C1854" s="62">
        <v>3</v>
      </c>
      <c r="D1854" s="62">
        <v>3</v>
      </c>
      <c r="E1854" s="26" t="s">
        <v>60</v>
      </c>
      <c r="F1854" s="17" t="s">
        <v>17</v>
      </c>
    </row>
    <row r="1855" spans="1:6" ht="15.6" x14ac:dyDescent="0.3">
      <c r="A1855" s="98">
        <v>43227</v>
      </c>
      <c r="B1855" s="62">
        <v>3</v>
      </c>
      <c r="C1855" s="62">
        <v>3</v>
      </c>
      <c r="D1855" s="62">
        <v>3</v>
      </c>
      <c r="E1855" s="26" t="s">
        <v>60</v>
      </c>
      <c r="F1855" s="17" t="s">
        <v>17</v>
      </c>
    </row>
    <row r="1856" spans="1:6" ht="15.6" x14ac:dyDescent="0.3">
      <c r="A1856" s="98">
        <v>43227</v>
      </c>
      <c r="B1856" s="62">
        <v>3</v>
      </c>
      <c r="C1856" s="62">
        <v>3</v>
      </c>
      <c r="D1856" s="62">
        <v>3</v>
      </c>
      <c r="E1856" s="26" t="s">
        <v>60</v>
      </c>
      <c r="F1856" s="17" t="s">
        <v>17</v>
      </c>
    </row>
    <row r="1857" spans="1:6" ht="15.6" x14ac:dyDescent="0.3">
      <c r="A1857" s="98">
        <v>43231</v>
      </c>
      <c r="B1857" s="62">
        <v>3</v>
      </c>
      <c r="C1857" s="62">
        <v>3</v>
      </c>
      <c r="D1857" s="62">
        <v>3</v>
      </c>
      <c r="E1857" s="26" t="s">
        <v>60</v>
      </c>
      <c r="F1857" s="17" t="s">
        <v>17</v>
      </c>
    </row>
    <row r="1858" spans="1:6" ht="15.6" x14ac:dyDescent="0.3">
      <c r="A1858" s="98">
        <v>43231</v>
      </c>
      <c r="B1858" s="62">
        <v>3</v>
      </c>
      <c r="C1858" s="62">
        <v>3</v>
      </c>
      <c r="D1858" s="62">
        <v>3</v>
      </c>
      <c r="E1858" s="26" t="s">
        <v>60</v>
      </c>
      <c r="F1858" s="17" t="s">
        <v>17</v>
      </c>
    </row>
    <row r="1859" spans="1:6" ht="15.6" x14ac:dyDescent="0.3">
      <c r="A1859" s="98">
        <v>43231</v>
      </c>
      <c r="B1859" s="62">
        <v>3</v>
      </c>
      <c r="C1859" s="62">
        <v>3</v>
      </c>
      <c r="D1859" s="62">
        <v>3</v>
      </c>
      <c r="E1859" s="26" t="s">
        <v>60</v>
      </c>
      <c r="F1859" s="17" t="s">
        <v>17</v>
      </c>
    </row>
    <row r="1860" spans="1:6" ht="15.6" x14ac:dyDescent="0.3">
      <c r="A1860" s="98">
        <v>43231</v>
      </c>
      <c r="B1860" s="62">
        <v>3</v>
      </c>
      <c r="C1860" s="62">
        <v>3</v>
      </c>
      <c r="D1860" s="62">
        <v>3</v>
      </c>
      <c r="E1860" s="26" t="s">
        <v>60</v>
      </c>
      <c r="F1860" s="17" t="s">
        <v>17</v>
      </c>
    </row>
    <row r="1861" spans="1:6" ht="15.6" x14ac:dyDescent="0.3">
      <c r="A1861" s="98">
        <v>43238</v>
      </c>
      <c r="B1861" s="24">
        <v>4</v>
      </c>
      <c r="C1861" s="24">
        <v>4</v>
      </c>
      <c r="D1861" s="24">
        <v>4</v>
      </c>
      <c r="E1861" s="26" t="s">
        <v>60</v>
      </c>
      <c r="F1861" s="17" t="s">
        <v>17</v>
      </c>
    </row>
    <row r="1862" spans="1:6" ht="15.6" x14ac:dyDescent="0.3">
      <c r="A1862" s="98">
        <v>43238</v>
      </c>
      <c r="B1862" s="24">
        <v>3</v>
      </c>
      <c r="C1862" s="24">
        <v>3</v>
      </c>
      <c r="D1862" s="24">
        <v>3</v>
      </c>
      <c r="E1862" s="26" t="s">
        <v>60</v>
      </c>
      <c r="F1862" s="17" t="s">
        <v>17</v>
      </c>
    </row>
    <row r="1863" spans="1:6" ht="15.6" x14ac:dyDescent="0.3">
      <c r="A1863" s="98">
        <v>43248</v>
      </c>
      <c r="B1863" s="24">
        <v>3</v>
      </c>
      <c r="C1863" s="24">
        <v>3</v>
      </c>
      <c r="D1863" s="24">
        <v>3</v>
      </c>
      <c r="E1863" s="26" t="s">
        <v>60</v>
      </c>
      <c r="F1863" s="17" t="s">
        <v>17</v>
      </c>
    </row>
    <row r="1864" spans="1:6" ht="15.6" x14ac:dyDescent="0.3">
      <c r="A1864" s="98">
        <v>43248</v>
      </c>
      <c r="B1864" s="24">
        <v>3</v>
      </c>
      <c r="C1864" s="24">
        <v>3</v>
      </c>
      <c r="D1864" s="24">
        <v>3</v>
      </c>
      <c r="E1864" s="26" t="s">
        <v>60</v>
      </c>
      <c r="F1864" s="17" t="s">
        <v>17</v>
      </c>
    </row>
    <row r="1865" spans="1:6" ht="15.6" x14ac:dyDescent="0.3">
      <c r="A1865" s="98">
        <v>43248</v>
      </c>
      <c r="B1865" s="24">
        <v>4</v>
      </c>
      <c r="C1865" s="24">
        <v>4</v>
      </c>
      <c r="D1865" s="24">
        <v>4</v>
      </c>
      <c r="E1865" s="26" t="s">
        <v>60</v>
      </c>
      <c r="F1865" s="17" t="s">
        <v>17</v>
      </c>
    </row>
    <row r="1866" spans="1:6" ht="15.6" x14ac:dyDescent="0.3">
      <c r="A1866" s="98">
        <v>43248</v>
      </c>
      <c r="B1866" s="24">
        <v>1</v>
      </c>
      <c r="C1866" s="24">
        <v>1</v>
      </c>
      <c r="D1866" s="24">
        <v>1</v>
      </c>
      <c r="E1866" s="26" t="s">
        <v>60</v>
      </c>
      <c r="F1866" s="17" t="s">
        <v>17</v>
      </c>
    </row>
    <row r="1867" spans="1:6" ht="15.6" x14ac:dyDescent="0.3">
      <c r="A1867" s="98">
        <v>43390</v>
      </c>
      <c r="B1867" s="24">
        <v>1</v>
      </c>
      <c r="C1867" s="24">
        <v>1</v>
      </c>
      <c r="D1867" s="24">
        <v>1</v>
      </c>
      <c r="E1867" s="26" t="s">
        <v>60</v>
      </c>
      <c r="F1867" s="17" t="s">
        <v>17</v>
      </c>
    </row>
    <row r="1868" spans="1:6" ht="15.6" x14ac:dyDescent="0.3">
      <c r="A1868" s="31">
        <v>43207</v>
      </c>
      <c r="B1868" s="24">
        <v>35</v>
      </c>
      <c r="C1868" s="24">
        <f>B1868</f>
        <v>35</v>
      </c>
      <c r="D1868" s="24">
        <f>B1868</f>
        <v>35</v>
      </c>
      <c r="E1868" s="26" t="s">
        <v>61</v>
      </c>
      <c r="F1868" s="17" t="s">
        <v>17</v>
      </c>
    </row>
    <row r="1869" spans="1:6" ht="15.6" x14ac:dyDescent="0.3">
      <c r="A1869" s="31">
        <v>43207</v>
      </c>
      <c r="B1869" s="24">
        <v>30</v>
      </c>
      <c r="C1869" s="24">
        <f t="shared" ref="C1869:C1872" si="3">B1869</f>
        <v>30</v>
      </c>
      <c r="D1869" s="24">
        <f t="shared" ref="D1869:D1872" si="4">B1869</f>
        <v>30</v>
      </c>
      <c r="E1869" s="26" t="s">
        <v>61</v>
      </c>
      <c r="F1869" s="17" t="s">
        <v>17</v>
      </c>
    </row>
    <row r="1870" spans="1:6" ht="15.6" x14ac:dyDescent="0.3">
      <c r="A1870" s="31">
        <v>43207</v>
      </c>
      <c r="B1870" s="24">
        <v>28</v>
      </c>
      <c r="C1870" s="24">
        <f t="shared" si="3"/>
        <v>28</v>
      </c>
      <c r="D1870" s="24">
        <f t="shared" si="4"/>
        <v>28</v>
      </c>
      <c r="E1870" s="26" t="s">
        <v>61</v>
      </c>
      <c r="F1870" s="17" t="s">
        <v>17</v>
      </c>
    </row>
    <row r="1871" spans="1:6" ht="15.6" x14ac:dyDescent="0.3">
      <c r="A1871" s="31">
        <v>43228</v>
      </c>
      <c r="B1871" s="24">
        <v>9</v>
      </c>
      <c r="C1871" s="24">
        <f t="shared" si="3"/>
        <v>9</v>
      </c>
      <c r="D1871" s="24">
        <f t="shared" si="4"/>
        <v>9</v>
      </c>
      <c r="E1871" s="26" t="s">
        <v>61</v>
      </c>
      <c r="F1871" s="17" t="s">
        <v>17</v>
      </c>
    </row>
    <row r="1872" spans="1:6" ht="15.6" x14ac:dyDescent="0.3">
      <c r="A1872" s="31">
        <v>43228</v>
      </c>
      <c r="B1872" s="24">
        <v>25</v>
      </c>
      <c r="C1872" s="24">
        <f t="shared" si="3"/>
        <v>25</v>
      </c>
      <c r="D1872" s="24">
        <f t="shared" si="4"/>
        <v>25</v>
      </c>
      <c r="E1872" s="26" t="s">
        <v>61</v>
      </c>
      <c r="F1872" s="17" t="s">
        <v>17</v>
      </c>
    </row>
    <row r="1873" spans="1:6" ht="15.6" x14ac:dyDescent="0.3">
      <c r="A1873" s="31">
        <v>43860</v>
      </c>
      <c r="B1873" s="24">
        <v>21</v>
      </c>
      <c r="C1873" s="48">
        <v>21</v>
      </c>
      <c r="D1873" s="24">
        <v>21</v>
      </c>
      <c r="E1873" s="26" t="s">
        <v>61</v>
      </c>
      <c r="F1873" s="17" t="s">
        <v>17</v>
      </c>
    </row>
    <row r="1874" spans="1:6" x14ac:dyDescent="0.3">
      <c r="A1874" s="77">
        <v>43059</v>
      </c>
      <c r="B1874" s="26">
        <v>20</v>
      </c>
      <c r="C1874" s="26">
        <v>20</v>
      </c>
      <c r="D1874" s="26">
        <v>20</v>
      </c>
      <c r="E1874" s="26" t="s">
        <v>62</v>
      </c>
      <c r="F1874" s="17" t="s">
        <v>17</v>
      </c>
    </row>
    <row r="1875" spans="1:6" x14ac:dyDescent="0.3">
      <c r="A1875" s="77">
        <v>43059</v>
      </c>
      <c r="B1875" s="26">
        <v>20</v>
      </c>
      <c r="C1875" s="26">
        <v>20</v>
      </c>
      <c r="D1875" s="26">
        <v>20</v>
      </c>
      <c r="E1875" s="26" t="s">
        <v>62</v>
      </c>
      <c r="F1875" s="17" t="s">
        <v>17</v>
      </c>
    </row>
    <row r="1876" spans="1:6" x14ac:dyDescent="0.3">
      <c r="A1876" s="77">
        <v>43059</v>
      </c>
      <c r="B1876" s="26">
        <v>20</v>
      </c>
      <c r="C1876" s="26">
        <v>20</v>
      </c>
      <c r="D1876" s="26">
        <v>20</v>
      </c>
      <c r="E1876" s="26" t="s">
        <v>62</v>
      </c>
      <c r="F1876" s="17" t="s">
        <v>17</v>
      </c>
    </row>
    <row r="1877" spans="1:6" x14ac:dyDescent="0.3">
      <c r="A1877" s="77">
        <v>43059</v>
      </c>
      <c r="B1877" s="26">
        <v>20</v>
      </c>
      <c r="C1877" s="26">
        <v>20</v>
      </c>
      <c r="D1877" s="26">
        <v>20</v>
      </c>
      <c r="E1877" s="26" t="s">
        <v>62</v>
      </c>
      <c r="F1877" s="17" t="s">
        <v>17</v>
      </c>
    </row>
    <row r="1878" spans="1:6" x14ac:dyDescent="0.3">
      <c r="A1878" s="77">
        <v>43066</v>
      </c>
      <c r="B1878" s="26">
        <v>20</v>
      </c>
      <c r="C1878" s="26">
        <v>20</v>
      </c>
      <c r="D1878" s="26">
        <v>20</v>
      </c>
      <c r="E1878" s="26" t="s">
        <v>62</v>
      </c>
      <c r="F1878" s="17" t="s">
        <v>17</v>
      </c>
    </row>
    <row r="1879" spans="1:6" x14ac:dyDescent="0.3">
      <c r="A1879" s="77">
        <v>43066</v>
      </c>
      <c r="B1879" s="26">
        <v>20</v>
      </c>
      <c r="C1879" s="26">
        <v>20</v>
      </c>
      <c r="D1879" s="26">
        <v>20</v>
      </c>
      <c r="E1879" s="26" t="s">
        <v>62</v>
      </c>
      <c r="F1879" s="17" t="s">
        <v>17</v>
      </c>
    </row>
    <row r="1880" spans="1:6" x14ac:dyDescent="0.3">
      <c r="A1880" s="77">
        <v>43066</v>
      </c>
      <c r="B1880" s="26">
        <v>20</v>
      </c>
      <c r="C1880" s="26">
        <v>20</v>
      </c>
      <c r="D1880" s="26">
        <v>20</v>
      </c>
      <c r="E1880" s="26" t="s">
        <v>62</v>
      </c>
      <c r="F1880" s="17" t="s">
        <v>17</v>
      </c>
    </row>
    <row r="1881" spans="1:6" x14ac:dyDescent="0.3">
      <c r="A1881" s="77">
        <v>43066</v>
      </c>
      <c r="B1881" s="26">
        <v>20</v>
      </c>
      <c r="C1881" s="26">
        <v>20</v>
      </c>
      <c r="D1881" s="26">
        <v>20</v>
      </c>
      <c r="E1881" s="26" t="s">
        <v>62</v>
      </c>
      <c r="F1881" s="17" t="s">
        <v>17</v>
      </c>
    </row>
    <row r="1882" spans="1:6" x14ac:dyDescent="0.3">
      <c r="A1882" s="77">
        <v>43074</v>
      </c>
      <c r="B1882" s="26">
        <v>20</v>
      </c>
      <c r="C1882" s="26">
        <v>20</v>
      </c>
      <c r="D1882" s="26">
        <v>20</v>
      </c>
      <c r="E1882" s="26" t="s">
        <v>62</v>
      </c>
      <c r="F1882" s="17" t="s">
        <v>17</v>
      </c>
    </row>
    <row r="1883" spans="1:6" x14ac:dyDescent="0.3">
      <c r="A1883" s="77">
        <v>43074</v>
      </c>
      <c r="B1883" s="26">
        <v>10</v>
      </c>
      <c r="C1883" s="26">
        <v>10</v>
      </c>
      <c r="D1883" s="26">
        <v>10</v>
      </c>
      <c r="E1883" s="26" t="s">
        <v>62</v>
      </c>
      <c r="F1883" s="17" t="s">
        <v>17</v>
      </c>
    </row>
    <row r="1884" spans="1:6" x14ac:dyDescent="0.3">
      <c r="A1884" s="99">
        <v>43104</v>
      </c>
      <c r="B1884" s="26">
        <v>15</v>
      </c>
      <c r="C1884" s="26">
        <v>15</v>
      </c>
      <c r="D1884" s="26">
        <v>15</v>
      </c>
      <c r="E1884" s="26" t="s">
        <v>62</v>
      </c>
      <c r="F1884" s="17" t="s">
        <v>17</v>
      </c>
    </row>
    <row r="1885" spans="1:6" ht="15.6" x14ac:dyDescent="0.3">
      <c r="A1885" s="60"/>
      <c r="B1885" s="24">
        <v>10</v>
      </c>
      <c r="C1885" s="24">
        <v>10</v>
      </c>
      <c r="D1885" s="24">
        <v>10</v>
      </c>
      <c r="E1885" s="26" t="s">
        <v>63</v>
      </c>
      <c r="F1885" s="17" t="s">
        <v>17</v>
      </c>
    </row>
    <row r="1886" spans="1:6" ht="15.6" x14ac:dyDescent="0.3">
      <c r="A1886" s="60"/>
      <c r="B1886" s="24">
        <v>10</v>
      </c>
      <c r="C1886" s="24">
        <v>10</v>
      </c>
      <c r="D1886" s="24">
        <v>10</v>
      </c>
      <c r="E1886" s="26" t="s">
        <v>63</v>
      </c>
      <c r="F1886" s="17" t="s">
        <v>17</v>
      </c>
    </row>
    <row r="1887" spans="1:6" ht="15.6" x14ac:dyDescent="0.3">
      <c r="A1887" s="60"/>
      <c r="B1887" s="24">
        <v>13</v>
      </c>
      <c r="C1887" s="24">
        <v>13</v>
      </c>
      <c r="D1887" s="24">
        <v>13</v>
      </c>
      <c r="E1887" s="26" t="s">
        <v>63</v>
      </c>
      <c r="F1887" s="17" t="s">
        <v>17</v>
      </c>
    </row>
    <row r="1888" spans="1:6" ht="15.6" x14ac:dyDescent="0.3">
      <c r="A1888" s="60"/>
      <c r="B1888" s="24">
        <v>5</v>
      </c>
      <c r="C1888" s="24">
        <v>5</v>
      </c>
      <c r="D1888" s="24">
        <v>5</v>
      </c>
      <c r="E1888" s="26" t="s">
        <v>63</v>
      </c>
      <c r="F1888" s="17" t="s">
        <v>17</v>
      </c>
    </row>
    <row r="1889" spans="1:6" x14ac:dyDescent="0.3">
      <c r="A1889" s="52">
        <v>44203</v>
      </c>
      <c r="B1889" s="58">
        <v>140</v>
      </c>
      <c r="C1889" s="58">
        <v>140</v>
      </c>
      <c r="D1889" s="26">
        <v>140</v>
      </c>
      <c r="E1889" s="26" t="s">
        <v>64</v>
      </c>
      <c r="F1889" t="s">
        <v>22</v>
      </c>
    </row>
    <row r="1890" spans="1:6" x14ac:dyDescent="0.3">
      <c r="A1890" s="52">
        <v>44203</v>
      </c>
      <c r="B1890" s="11">
        <v>606</v>
      </c>
      <c r="C1890" s="11">
        <v>606</v>
      </c>
      <c r="D1890" s="11">
        <v>606</v>
      </c>
      <c r="E1890" s="26" t="s">
        <v>64</v>
      </c>
      <c r="F1890" t="s">
        <v>21</v>
      </c>
    </row>
    <row r="1891" spans="1:6" x14ac:dyDescent="0.3">
      <c r="A1891" s="52">
        <v>44224</v>
      </c>
      <c r="B1891" s="11">
        <v>419</v>
      </c>
      <c r="C1891" s="11">
        <v>419</v>
      </c>
      <c r="D1891" s="11">
        <v>419</v>
      </c>
      <c r="E1891" s="26" t="s">
        <v>64</v>
      </c>
      <c r="F1891" t="s">
        <v>21</v>
      </c>
    </row>
    <row r="1892" spans="1:6" x14ac:dyDescent="0.3">
      <c r="A1892" s="52">
        <v>44225</v>
      </c>
      <c r="B1892" s="11">
        <v>500</v>
      </c>
      <c r="C1892" s="11">
        <v>500</v>
      </c>
      <c r="D1892" s="11">
        <f>30+368</f>
        <v>398</v>
      </c>
      <c r="E1892" s="26" t="s">
        <v>64</v>
      </c>
      <c r="F1892" t="s">
        <v>21</v>
      </c>
    </row>
    <row r="1893" spans="1:6" x14ac:dyDescent="0.3">
      <c r="A1893" s="52">
        <v>44232</v>
      </c>
      <c r="B1893" s="11">
        <v>472</v>
      </c>
      <c r="C1893" s="11">
        <v>472</v>
      </c>
      <c r="D1893" s="11">
        <v>460</v>
      </c>
      <c r="E1893" s="26" t="s">
        <v>64</v>
      </c>
      <c r="F1893" t="s">
        <v>21</v>
      </c>
    </row>
    <row r="1894" spans="1:6" x14ac:dyDescent="0.3">
      <c r="A1894" s="52">
        <v>44246</v>
      </c>
      <c r="B1894" s="11">
        <v>419</v>
      </c>
      <c r="C1894" s="11">
        <v>419</v>
      </c>
      <c r="D1894" s="11">
        <v>11</v>
      </c>
      <c r="E1894" s="26" t="s">
        <v>64</v>
      </c>
      <c r="F1894" t="s">
        <v>21</v>
      </c>
    </row>
    <row r="1895" spans="1:6" x14ac:dyDescent="0.3">
      <c r="A1895" s="52">
        <v>44259</v>
      </c>
      <c r="B1895" s="11">
        <v>45</v>
      </c>
      <c r="C1895" s="11">
        <v>45</v>
      </c>
      <c r="D1895" s="11"/>
      <c r="E1895" s="26" t="s">
        <v>64</v>
      </c>
      <c r="F1895" t="s">
        <v>21</v>
      </c>
    </row>
    <row r="1896" spans="1:6" x14ac:dyDescent="0.3">
      <c r="A1896" s="52">
        <v>44267</v>
      </c>
      <c r="B1896" s="11">
        <v>477</v>
      </c>
      <c r="C1896" s="11">
        <v>477</v>
      </c>
      <c r="D1896" s="11"/>
      <c r="E1896" s="26" t="s">
        <v>64</v>
      </c>
      <c r="F1896" t="s">
        <v>21</v>
      </c>
    </row>
    <row r="1897" spans="1:6" x14ac:dyDescent="0.3">
      <c r="A1897" s="52">
        <v>44274</v>
      </c>
      <c r="B1897" s="11">
        <v>401</v>
      </c>
      <c r="C1897" s="11">
        <v>401</v>
      </c>
      <c r="D1897" s="11"/>
      <c r="E1897" s="26" t="s">
        <v>64</v>
      </c>
      <c r="F1897" t="s">
        <v>21</v>
      </c>
    </row>
    <row r="1898" spans="1:6" x14ac:dyDescent="0.3">
      <c r="A1898" s="52">
        <v>44281</v>
      </c>
      <c r="B1898" s="11">
        <v>381</v>
      </c>
      <c r="C1898" s="11">
        <v>381</v>
      </c>
      <c r="D1898" s="11"/>
      <c r="E1898" s="26" t="s">
        <v>64</v>
      </c>
      <c r="F1898" t="s">
        <v>21</v>
      </c>
    </row>
    <row r="1899" spans="1:6" x14ac:dyDescent="0.3">
      <c r="A1899" s="52">
        <v>44295</v>
      </c>
      <c r="B1899" s="11">
        <v>407</v>
      </c>
      <c r="C1899" s="11">
        <v>407</v>
      </c>
      <c r="D1899" s="11"/>
      <c r="E1899" s="26" t="s">
        <v>64</v>
      </c>
      <c r="F1899" t="s">
        <v>21</v>
      </c>
    </row>
    <row r="1900" spans="1:6" x14ac:dyDescent="0.3">
      <c r="A1900" s="52">
        <v>44302</v>
      </c>
      <c r="B1900" s="11">
        <v>411</v>
      </c>
      <c r="C1900" s="11">
        <v>411</v>
      </c>
      <c r="D1900" s="11"/>
      <c r="E1900" s="26" t="s">
        <v>64</v>
      </c>
      <c r="F1900" t="s">
        <v>21</v>
      </c>
    </row>
    <row r="1901" spans="1:6" x14ac:dyDescent="0.3">
      <c r="A1901" s="52">
        <v>44309</v>
      </c>
      <c r="B1901" s="11">
        <v>437</v>
      </c>
      <c r="C1901" s="11">
        <v>437</v>
      </c>
      <c r="D1901" s="11"/>
      <c r="E1901" s="26" t="s">
        <v>64</v>
      </c>
      <c r="F1901" t="s">
        <v>21</v>
      </c>
    </row>
    <row r="1902" spans="1:6" x14ac:dyDescent="0.3">
      <c r="A1902" s="52">
        <v>44316</v>
      </c>
      <c r="B1902" s="11">
        <v>415</v>
      </c>
      <c r="C1902" s="11">
        <v>415</v>
      </c>
      <c r="D1902" s="11"/>
      <c r="E1902" s="26" t="s">
        <v>64</v>
      </c>
      <c r="F1902" t="s">
        <v>21</v>
      </c>
    </row>
    <row r="1903" spans="1:6" x14ac:dyDescent="0.3">
      <c r="A1903" s="52">
        <v>44323</v>
      </c>
      <c r="B1903" s="11">
        <v>384</v>
      </c>
      <c r="C1903" s="11">
        <v>384</v>
      </c>
      <c r="D1903" s="11"/>
      <c r="E1903" s="26" t="s">
        <v>64</v>
      </c>
      <c r="F1903" t="s">
        <v>21</v>
      </c>
    </row>
    <row r="1904" spans="1:6" x14ac:dyDescent="0.3">
      <c r="A1904" s="52">
        <v>44330</v>
      </c>
      <c r="B1904" s="11">
        <v>215</v>
      </c>
      <c r="C1904" s="11">
        <v>215</v>
      </c>
      <c r="D1904" s="11"/>
      <c r="E1904" s="26" t="s">
        <v>64</v>
      </c>
      <c r="F1904" t="s">
        <v>21</v>
      </c>
    </row>
    <row r="1905" spans="1:6" x14ac:dyDescent="0.3">
      <c r="A1905" s="52">
        <v>44350</v>
      </c>
      <c r="B1905" s="11">
        <v>486</v>
      </c>
      <c r="C1905" s="11">
        <v>486</v>
      </c>
      <c r="D1905" s="11"/>
      <c r="E1905" s="26" t="s">
        <v>64</v>
      </c>
      <c r="F1905" t="s">
        <v>21</v>
      </c>
    </row>
    <row r="1906" spans="1:6" x14ac:dyDescent="0.3">
      <c r="A1906" s="52">
        <v>44364</v>
      </c>
      <c r="B1906" s="11">
        <v>450</v>
      </c>
      <c r="C1906" s="11">
        <v>450</v>
      </c>
      <c r="D1906" s="11"/>
      <c r="E1906" s="26" t="s">
        <v>64</v>
      </c>
      <c r="F1906" t="s">
        <v>21</v>
      </c>
    </row>
    <row r="1907" spans="1:6" x14ac:dyDescent="0.3">
      <c r="A1907" s="52">
        <v>44378</v>
      </c>
      <c r="B1907" s="11">
        <v>455</v>
      </c>
      <c r="C1907" s="11">
        <v>455</v>
      </c>
      <c r="D1907" s="11"/>
      <c r="E1907" s="26" t="s">
        <v>64</v>
      </c>
      <c r="F1907" t="s">
        <v>21</v>
      </c>
    </row>
    <row r="1908" spans="1:6" x14ac:dyDescent="0.3">
      <c r="A1908" s="52">
        <v>44392</v>
      </c>
      <c r="B1908" s="11">
        <v>438</v>
      </c>
      <c r="C1908" s="11"/>
      <c r="D1908" s="11"/>
      <c r="E1908" s="26" t="s">
        <v>64</v>
      </c>
      <c r="F1908" t="s">
        <v>21</v>
      </c>
    </row>
    <row r="1909" spans="1:6" x14ac:dyDescent="0.3">
      <c r="A1909" s="52">
        <v>44406</v>
      </c>
      <c r="B1909" s="11">
        <v>435</v>
      </c>
      <c r="C1909" s="11"/>
      <c r="D1909" s="11"/>
      <c r="E1909" s="26" t="s">
        <v>64</v>
      </c>
      <c r="F1909" t="s">
        <v>21</v>
      </c>
    </row>
    <row r="1910" spans="1:6" x14ac:dyDescent="0.3">
      <c r="A1910" s="52">
        <v>44420</v>
      </c>
      <c r="B1910" s="11">
        <v>448</v>
      </c>
      <c r="C1910" s="11"/>
      <c r="D1910" s="11"/>
      <c r="E1910" s="26" t="s">
        <v>64</v>
      </c>
      <c r="F1910" t="s">
        <v>21</v>
      </c>
    </row>
    <row r="1911" spans="1:6" x14ac:dyDescent="0.3">
      <c r="A1911" s="52">
        <v>44431</v>
      </c>
      <c r="B1911" s="11">
        <v>454</v>
      </c>
      <c r="C1911" s="11"/>
      <c r="D1911" s="11"/>
      <c r="E1911" s="26" t="s">
        <v>64</v>
      </c>
      <c r="F1911" t="s">
        <v>21</v>
      </c>
    </row>
    <row r="1912" spans="1:6" x14ac:dyDescent="0.3">
      <c r="A1912" s="52">
        <v>44448</v>
      </c>
      <c r="B1912" s="11">
        <v>435</v>
      </c>
      <c r="C1912" s="11"/>
      <c r="D1912" s="11"/>
      <c r="E1912" s="26" t="s">
        <v>64</v>
      </c>
      <c r="F1912" t="s">
        <v>21</v>
      </c>
    </row>
    <row r="1913" spans="1:6" x14ac:dyDescent="0.3">
      <c r="A1913" s="52">
        <v>44462</v>
      </c>
      <c r="B1913" s="11">
        <v>468</v>
      </c>
      <c r="C1913" s="11"/>
      <c r="D1913" s="11"/>
      <c r="E1913" s="26" t="s">
        <v>64</v>
      </c>
      <c r="F1913" t="s">
        <v>21</v>
      </c>
    </row>
    <row r="1914" spans="1:6" x14ac:dyDescent="0.3">
      <c r="A1914" s="60">
        <v>44476</v>
      </c>
      <c r="B1914" s="50">
        <v>227</v>
      </c>
      <c r="C1914" s="11"/>
      <c r="D1914" s="11"/>
      <c r="E1914" s="26" t="s">
        <v>64</v>
      </c>
      <c r="F1914" t="s">
        <v>21</v>
      </c>
    </row>
    <row r="1915" spans="1:6" x14ac:dyDescent="0.3">
      <c r="A1915" s="60">
        <v>44490</v>
      </c>
      <c r="B1915" s="50">
        <v>219</v>
      </c>
      <c r="C1915" s="11"/>
      <c r="D1915" s="11"/>
      <c r="E1915" s="26" t="s">
        <v>64</v>
      </c>
      <c r="F1915" t="s">
        <v>21</v>
      </c>
    </row>
    <row r="1916" spans="1:6" x14ac:dyDescent="0.3">
      <c r="A1916" s="60">
        <v>44503</v>
      </c>
      <c r="B1916" s="11">
        <v>173</v>
      </c>
      <c r="C1916" s="11"/>
      <c r="D1916" s="11"/>
      <c r="E1916" s="26" t="s">
        <v>64</v>
      </c>
      <c r="F1916" t="s">
        <v>21</v>
      </c>
    </row>
    <row r="1917" spans="1:6" x14ac:dyDescent="0.3">
      <c r="A1917" s="60">
        <v>44518</v>
      </c>
      <c r="B1917" s="11">
        <v>229</v>
      </c>
      <c r="C1917" s="11"/>
      <c r="D1917" s="11"/>
      <c r="E1917" s="26" t="s">
        <v>64</v>
      </c>
      <c r="F1917" t="s">
        <v>21</v>
      </c>
    </row>
    <row r="1918" spans="1:6" x14ac:dyDescent="0.3">
      <c r="A1918" s="60">
        <v>44505</v>
      </c>
      <c r="B1918" s="11">
        <v>212</v>
      </c>
      <c r="C1918" s="11"/>
      <c r="D1918" s="11"/>
      <c r="E1918" s="26" t="s">
        <v>64</v>
      </c>
      <c r="F1918" t="s">
        <v>21</v>
      </c>
    </row>
    <row r="1919" spans="1:6" x14ac:dyDescent="0.3">
      <c r="A1919" s="60">
        <v>44508</v>
      </c>
      <c r="B1919" s="11">
        <v>216</v>
      </c>
      <c r="C1919" s="11"/>
      <c r="D1919" s="11"/>
      <c r="E1919" s="26" t="s">
        <v>64</v>
      </c>
      <c r="F1919" t="s">
        <v>21</v>
      </c>
    </row>
    <row r="1920" spans="1:6" x14ac:dyDescent="0.3">
      <c r="A1920" s="60">
        <v>44510</v>
      </c>
      <c r="B1920" s="11">
        <v>222</v>
      </c>
      <c r="C1920" s="11"/>
      <c r="D1920" s="11"/>
      <c r="E1920" s="26" t="s">
        <v>64</v>
      </c>
      <c r="F1920" t="s">
        <v>21</v>
      </c>
    </row>
    <row r="1921" spans="1:6" x14ac:dyDescent="0.3">
      <c r="A1921" s="60">
        <v>44511</v>
      </c>
      <c r="B1921" s="11">
        <v>416</v>
      </c>
      <c r="C1921" s="11"/>
      <c r="D1921" s="11"/>
      <c r="E1921" s="26" t="s">
        <v>64</v>
      </c>
      <c r="F1921" t="s">
        <v>21</v>
      </c>
    </row>
    <row r="1922" spans="1:6" x14ac:dyDescent="0.3">
      <c r="A1922" s="60">
        <v>44515</v>
      </c>
      <c r="B1922" s="11">
        <v>222</v>
      </c>
      <c r="C1922" s="11"/>
      <c r="D1922" s="11"/>
      <c r="E1922" s="26" t="s">
        <v>64</v>
      </c>
      <c r="F1922" t="s">
        <v>21</v>
      </c>
    </row>
    <row r="1923" spans="1:6" x14ac:dyDescent="0.3">
      <c r="A1923" s="60">
        <v>44516</v>
      </c>
      <c r="B1923" s="11">
        <v>215</v>
      </c>
      <c r="C1923" s="11"/>
      <c r="D1923" s="11"/>
      <c r="E1923" s="26" t="s">
        <v>64</v>
      </c>
      <c r="F1923" t="s">
        <v>21</v>
      </c>
    </row>
    <row r="1924" spans="1:6" x14ac:dyDescent="0.3">
      <c r="A1924" s="60">
        <v>44517</v>
      </c>
      <c r="B1924" s="11">
        <v>214</v>
      </c>
      <c r="C1924" s="11"/>
      <c r="D1924" s="11"/>
      <c r="E1924" s="26" t="s">
        <v>64</v>
      </c>
      <c r="F1924" t="s">
        <v>21</v>
      </c>
    </row>
    <row r="1925" spans="1:6" x14ac:dyDescent="0.3">
      <c r="A1925" s="60">
        <v>44518</v>
      </c>
      <c r="B1925" s="11">
        <v>209</v>
      </c>
      <c r="C1925" s="11"/>
      <c r="D1925" s="11"/>
      <c r="E1925" s="26" t="s">
        <v>64</v>
      </c>
      <c r="F1925" t="s">
        <v>21</v>
      </c>
    </row>
    <row r="1926" spans="1:6" x14ac:dyDescent="0.3">
      <c r="A1926" s="60">
        <v>44519</v>
      </c>
      <c r="B1926" s="11">
        <v>248</v>
      </c>
      <c r="C1926" s="11"/>
      <c r="D1926" s="11"/>
      <c r="E1926" s="26" t="s">
        <v>64</v>
      </c>
      <c r="F1926" t="s">
        <v>21</v>
      </c>
    </row>
    <row r="1927" spans="1:6" x14ac:dyDescent="0.3">
      <c r="A1927" s="60">
        <v>44522</v>
      </c>
      <c r="B1927" s="11">
        <v>143</v>
      </c>
      <c r="C1927" s="11"/>
      <c r="D1927" s="11"/>
      <c r="E1927" s="26" t="s">
        <v>64</v>
      </c>
      <c r="F1927" t="s">
        <v>21</v>
      </c>
    </row>
    <row r="1928" spans="1:6" x14ac:dyDescent="0.3">
      <c r="A1928" s="60">
        <v>44523</v>
      </c>
      <c r="B1928" s="11">
        <v>426</v>
      </c>
      <c r="C1928" s="11"/>
      <c r="D1928" s="11"/>
      <c r="E1928" s="26" t="s">
        <v>64</v>
      </c>
      <c r="F1928" t="s">
        <v>21</v>
      </c>
    </row>
    <row r="1929" spans="1:6" x14ac:dyDescent="0.3">
      <c r="A1929" s="60">
        <v>44525</v>
      </c>
      <c r="B1929" s="11">
        <v>410</v>
      </c>
      <c r="C1929" s="11"/>
      <c r="D1929" s="11"/>
      <c r="E1929" s="26" t="s">
        <v>64</v>
      </c>
      <c r="F1929" t="s">
        <v>21</v>
      </c>
    </row>
    <row r="1930" spans="1:6" x14ac:dyDescent="0.3">
      <c r="A1930" s="60">
        <v>44526</v>
      </c>
      <c r="B1930" s="11">
        <v>198</v>
      </c>
      <c r="C1930" s="11"/>
      <c r="D1930" s="11"/>
      <c r="E1930" s="26" t="s">
        <v>64</v>
      </c>
      <c r="F1930" t="s">
        <v>21</v>
      </c>
    </row>
    <row r="1931" spans="1:6" x14ac:dyDescent="0.3">
      <c r="A1931" s="60">
        <v>44529</v>
      </c>
      <c r="B1931" s="11">
        <v>159</v>
      </c>
      <c r="C1931" s="11"/>
      <c r="D1931" s="11"/>
      <c r="E1931" s="26" t="s">
        <v>64</v>
      </c>
      <c r="F1931" t="s">
        <v>21</v>
      </c>
    </row>
    <row r="1932" spans="1:6" x14ac:dyDescent="0.3">
      <c r="A1932" s="60">
        <v>44530</v>
      </c>
      <c r="B1932" s="11">
        <v>369</v>
      </c>
      <c r="C1932" s="11"/>
      <c r="D1932" s="11"/>
      <c r="E1932" s="26" t="s">
        <v>64</v>
      </c>
      <c r="F1932" t="s">
        <v>21</v>
      </c>
    </row>
    <row r="1933" spans="1:6" x14ac:dyDescent="0.3">
      <c r="A1933" s="60">
        <v>44531</v>
      </c>
      <c r="B1933" s="11">
        <v>390</v>
      </c>
      <c r="C1933" s="11"/>
      <c r="D1933" s="11"/>
      <c r="E1933" s="26" t="s">
        <v>64</v>
      </c>
      <c r="F1933" t="s">
        <v>21</v>
      </c>
    </row>
    <row r="1934" spans="1:6" x14ac:dyDescent="0.3">
      <c r="A1934" s="60">
        <v>44532</v>
      </c>
      <c r="B1934" s="63">
        <v>80</v>
      </c>
      <c r="C1934" s="11"/>
      <c r="D1934" s="11"/>
      <c r="E1934" s="26" t="s">
        <v>64</v>
      </c>
      <c r="F1934" t="s">
        <v>21</v>
      </c>
    </row>
    <row r="1935" spans="1:6" x14ac:dyDescent="0.3">
      <c r="A1935" s="60">
        <v>44533</v>
      </c>
      <c r="B1935" s="63">
        <v>283</v>
      </c>
      <c r="C1935" s="11"/>
      <c r="D1935" s="11"/>
      <c r="E1935" s="26" t="s">
        <v>64</v>
      </c>
      <c r="F1935" t="s">
        <v>21</v>
      </c>
    </row>
    <row r="1936" spans="1:6" x14ac:dyDescent="0.3">
      <c r="A1936" s="60">
        <v>44536</v>
      </c>
      <c r="B1936" s="63">
        <v>343</v>
      </c>
      <c r="C1936" s="11"/>
      <c r="D1936" s="11"/>
      <c r="E1936" s="26" t="s">
        <v>64</v>
      </c>
      <c r="F1936" t="s">
        <v>21</v>
      </c>
    </row>
    <row r="1937" spans="1:6" x14ac:dyDescent="0.3">
      <c r="A1937" s="60">
        <v>44537</v>
      </c>
      <c r="B1937" s="63">
        <v>189</v>
      </c>
      <c r="C1937" s="11"/>
      <c r="D1937" s="11"/>
      <c r="E1937" s="26" t="s">
        <v>64</v>
      </c>
      <c r="F1937" t="s">
        <v>21</v>
      </c>
    </row>
    <row r="1938" spans="1:6" x14ac:dyDescent="0.3">
      <c r="A1938" s="60">
        <v>44538</v>
      </c>
      <c r="B1938" s="63">
        <v>195</v>
      </c>
      <c r="C1938" s="11"/>
      <c r="D1938" s="11"/>
      <c r="E1938" s="26" t="s">
        <v>64</v>
      </c>
      <c r="F1938" t="s">
        <v>21</v>
      </c>
    </row>
    <row r="1939" spans="1:6" x14ac:dyDescent="0.3">
      <c r="A1939" s="60">
        <v>44538</v>
      </c>
      <c r="B1939" s="63">
        <v>188</v>
      </c>
      <c r="C1939" s="11"/>
      <c r="D1939" s="11"/>
      <c r="E1939" s="26" t="s">
        <v>64</v>
      </c>
      <c r="F1939" t="s">
        <v>21</v>
      </c>
    </row>
    <row r="1940" spans="1:6" x14ac:dyDescent="0.3">
      <c r="A1940" s="60">
        <v>44539</v>
      </c>
      <c r="B1940" s="63">
        <v>185</v>
      </c>
      <c r="C1940" s="11"/>
      <c r="D1940" s="11"/>
      <c r="E1940" s="26" t="s">
        <v>64</v>
      </c>
      <c r="F1940" t="s">
        <v>21</v>
      </c>
    </row>
    <row r="1941" spans="1:6" x14ac:dyDescent="0.3">
      <c r="A1941" s="60">
        <v>44539</v>
      </c>
      <c r="B1941" s="63">
        <v>92</v>
      </c>
      <c r="C1941" s="11"/>
      <c r="D1941" s="11"/>
      <c r="E1941" s="26" t="s">
        <v>64</v>
      </c>
      <c r="F1941" t="s">
        <v>21</v>
      </c>
    </row>
    <row r="1942" spans="1:6" x14ac:dyDescent="0.3">
      <c r="A1942" s="64">
        <v>44540</v>
      </c>
      <c r="B1942" s="63">
        <v>261</v>
      </c>
      <c r="C1942" s="11"/>
      <c r="D1942" s="11"/>
      <c r="E1942" s="26" t="s">
        <v>64</v>
      </c>
      <c r="F1942" t="s">
        <v>21</v>
      </c>
    </row>
    <row r="1943" spans="1:6" x14ac:dyDescent="0.3">
      <c r="A1943" s="64">
        <v>44540</v>
      </c>
      <c r="B1943" s="63">
        <v>47</v>
      </c>
      <c r="C1943" s="11"/>
      <c r="D1943" s="11"/>
      <c r="E1943" s="26" t="s">
        <v>64</v>
      </c>
      <c r="F1943" t="s">
        <v>21</v>
      </c>
    </row>
    <row r="1944" spans="1:6" x14ac:dyDescent="0.3">
      <c r="A1944" s="64">
        <v>44543</v>
      </c>
      <c r="B1944" s="63">
        <v>337</v>
      </c>
      <c r="C1944" s="11"/>
      <c r="D1944" s="11"/>
      <c r="E1944" s="26" t="s">
        <v>64</v>
      </c>
      <c r="F1944" t="s">
        <v>21</v>
      </c>
    </row>
    <row r="1945" spans="1:6" x14ac:dyDescent="0.3">
      <c r="A1945" s="64">
        <v>44544</v>
      </c>
      <c r="B1945" s="63">
        <v>270</v>
      </c>
      <c r="C1945" s="11"/>
      <c r="D1945" s="11"/>
      <c r="E1945" s="26" t="s">
        <v>64</v>
      </c>
      <c r="F1945" t="s">
        <v>21</v>
      </c>
    </row>
    <row r="1946" spans="1:6" x14ac:dyDescent="0.3">
      <c r="A1946" s="64">
        <v>44545</v>
      </c>
      <c r="B1946" s="63">
        <v>100</v>
      </c>
      <c r="C1946" s="11"/>
      <c r="D1946" s="11"/>
      <c r="E1946" s="26" t="s">
        <v>64</v>
      </c>
      <c r="F1946" t="s">
        <v>21</v>
      </c>
    </row>
    <row r="1947" spans="1:6" x14ac:dyDescent="0.3">
      <c r="A1947" s="64">
        <v>44545</v>
      </c>
      <c r="B1947" s="63">
        <v>282</v>
      </c>
      <c r="C1947" s="11"/>
      <c r="D1947" s="11"/>
      <c r="E1947" s="26" t="s">
        <v>64</v>
      </c>
      <c r="F1947" t="s">
        <v>21</v>
      </c>
    </row>
    <row r="1948" spans="1:6" x14ac:dyDescent="0.3">
      <c r="A1948" s="64">
        <v>44546</v>
      </c>
      <c r="B1948" s="63">
        <v>85</v>
      </c>
      <c r="C1948" s="11"/>
      <c r="D1948" s="11"/>
      <c r="E1948" s="26" t="s">
        <v>64</v>
      </c>
      <c r="F1948" t="s">
        <v>21</v>
      </c>
    </row>
    <row r="1949" spans="1:6" x14ac:dyDescent="0.3">
      <c r="A1949" s="65">
        <v>44546</v>
      </c>
      <c r="B1949" s="63">
        <v>190</v>
      </c>
      <c r="C1949" s="11"/>
      <c r="D1949" s="11"/>
      <c r="E1949" s="26" t="s">
        <v>64</v>
      </c>
      <c r="F1949" t="s">
        <v>21</v>
      </c>
    </row>
    <row r="1950" spans="1:6" x14ac:dyDescent="0.3">
      <c r="A1950" s="64">
        <v>44547</v>
      </c>
      <c r="B1950" s="63">
        <v>192</v>
      </c>
      <c r="C1950" s="11"/>
      <c r="D1950" s="11"/>
      <c r="E1950" s="26" t="s">
        <v>64</v>
      </c>
      <c r="F1950" t="s">
        <v>21</v>
      </c>
    </row>
    <row r="1951" spans="1:6" x14ac:dyDescent="0.3">
      <c r="A1951" s="64">
        <v>44557</v>
      </c>
      <c r="B1951" s="63">
        <v>452</v>
      </c>
      <c r="C1951" s="11"/>
      <c r="D1951" s="11"/>
      <c r="E1951" s="26" t="s">
        <v>64</v>
      </c>
      <c r="F1951" t="s">
        <v>21</v>
      </c>
    </row>
    <row r="1952" spans="1:6" x14ac:dyDescent="0.3">
      <c r="A1952" s="64">
        <v>44558</v>
      </c>
      <c r="B1952" s="63">
        <v>199</v>
      </c>
      <c r="C1952" s="11"/>
      <c r="D1952" s="11"/>
      <c r="E1952" s="26" t="s">
        <v>64</v>
      </c>
      <c r="F1952" t="s">
        <v>21</v>
      </c>
    </row>
    <row r="1953" spans="1:6" x14ac:dyDescent="0.3">
      <c r="A1953" s="64">
        <v>44559</v>
      </c>
      <c r="B1953" s="63">
        <v>276</v>
      </c>
      <c r="C1953" s="11"/>
      <c r="D1953" s="11"/>
      <c r="E1953" s="26" t="s">
        <v>64</v>
      </c>
      <c r="F1953" t="s">
        <v>21</v>
      </c>
    </row>
    <row r="1954" spans="1:6" x14ac:dyDescent="0.3">
      <c r="A1954" s="64">
        <v>44559</v>
      </c>
      <c r="B1954" s="63">
        <v>93</v>
      </c>
      <c r="C1954" s="11"/>
      <c r="D1954" s="11"/>
      <c r="E1954" s="26" t="s">
        <v>64</v>
      </c>
      <c r="F1954" t="s">
        <v>21</v>
      </c>
    </row>
    <row r="1955" spans="1:6" x14ac:dyDescent="0.3">
      <c r="A1955" s="60">
        <v>44199</v>
      </c>
      <c r="B1955" s="63">
        <v>367</v>
      </c>
      <c r="C1955" s="11"/>
      <c r="D1955" s="11"/>
      <c r="E1955" s="26" t="s">
        <v>64</v>
      </c>
      <c r="F1955" t="s">
        <v>21</v>
      </c>
    </row>
    <row r="1956" spans="1:6" x14ac:dyDescent="0.3">
      <c r="A1956" s="60">
        <v>44565</v>
      </c>
      <c r="B1956" s="11">
        <v>492</v>
      </c>
      <c r="C1956" s="11"/>
      <c r="D1956" s="11"/>
      <c r="E1956" s="26" t="s">
        <v>64</v>
      </c>
      <c r="F1956" t="s">
        <v>21</v>
      </c>
    </row>
    <row r="1957" spans="1:6" x14ac:dyDescent="0.3">
      <c r="A1957" s="60">
        <v>44566</v>
      </c>
      <c r="B1957" s="11">
        <v>298</v>
      </c>
      <c r="C1957" s="11"/>
      <c r="D1957" s="11"/>
      <c r="E1957" s="26" t="s">
        <v>64</v>
      </c>
      <c r="F1957" t="s">
        <v>21</v>
      </c>
    </row>
    <row r="1958" spans="1:6" x14ac:dyDescent="0.3">
      <c r="A1958" s="60">
        <v>44567</v>
      </c>
      <c r="B1958" s="11">
        <v>456</v>
      </c>
      <c r="C1958" s="11"/>
      <c r="D1958" s="11"/>
      <c r="E1958" s="26" t="s">
        <v>64</v>
      </c>
      <c r="F1958" t="s">
        <v>21</v>
      </c>
    </row>
    <row r="1959" spans="1:6" x14ac:dyDescent="0.3">
      <c r="A1959" s="60">
        <v>44568</v>
      </c>
      <c r="B1959" s="11">
        <v>454</v>
      </c>
      <c r="C1959" s="11"/>
      <c r="D1959" s="11"/>
      <c r="E1959" s="26" t="s">
        <v>64</v>
      </c>
      <c r="F1959" t="s">
        <v>21</v>
      </c>
    </row>
    <row r="1960" spans="1:6" x14ac:dyDescent="0.3">
      <c r="A1960" s="60">
        <v>44571</v>
      </c>
      <c r="B1960" s="11">
        <v>476</v>
      </c>
      <c r="C1960" s="11"/>
      <c r="D1960" s="11"/>
      <c r="E1960" s="26" t="s">
        <v>64</v>
      </c>
      <c r="F1960" t="s">
        <v>21</v>
      </c>
    </row>
    <row r="1961" spans="1:6" x14ac:dyDescent="0.3">
      <c r="A1961" s="60">
        <v>44572</v>
      </c>
      <c r="B1961" s="11">
        <v>169</v>
      </c>
      <c r="C1961" s="11"/>
      <c r="D1961" s="11"/>
      <c r="E1961" s="26" t="s">
        <v>64</v>
      </c>
      <c r="F1961" t="s">
        <v>21</v>
      </c>
    </row>
    <row r="1962" spans="1:6" x14ac:dyDescent="0.3">
      <c r="A1962" s="60">
        <v>44573</v>
      </c>
      <c r="B1962" s="11">
        <v>291</v>
      </c>
      <c r="C1962" s="11"/>
      <c r="D1962" s="11"/>
      <c r="E1962" s="26" t="s">
        <v>64</v>
      </c>
      <c r="F1962" t="s">
        <v>21</v>
      </c>
    </row>
    <row r="1963" spans="1:6" x14ac:dyDescent="0.3">
      <c r="A1963" s="60">
        <v>44574</v>
      </c>
      <c r="B1963" s="58">
        <v>524</v>
      </c>
      <c r="C1963" s="11"/>
      <c r="D1963" s="11"/>
      <c r="E1963" s="26" t="s">
        <v>64</v>
      </c>
      <c r="F1963" t="s">
        <v>21</v>
      </c>
    </row>
    <row r="1964" spans="1:6" x14ac:dyDescent="0.3">
      <c r="A1964" s="60">
        <v>44575</v>
      </c>
      <c r="B1964" s="11">
        <v>297</v>
      </c>
      <c r="C1964" s="11"/>
      <c r="D1964" s="11"/>
      <c r="E1964" s="26" t="s">
        <v>64</v>
      </c>
      <c r="F1964" t="s">
        <v>21</v>
      </c>
    </row>
    <row r="1965" spans="1:6" x14ac:dyDescent="0.3">
      <c r="A1965" s="60">
        <v>44578</v>
      </c>
      <c r="B1965" s="11">
        <v>173</v>
      </c>
      <c r="C1965" s="11"/>
      <c r="D1965" s="11"/>
      <c r="E1965" s="26" t="s">
        <v>64</v>
      </c>
      <c r="F1965" t="s">
        <v>21</v>
      </c>
    </row>
    <row r="1966" spans="1:6" x14ac:dyDescent="0.3">
      <c r="A1966" s="60">
        <v>44579</v>
      </c>
      <c r="B1966" s="11">
        <v>461</v>
      </c>
      <c r="C1966" s="11"/>
      <c r="D1966" s="11"/>
      <c r="E1966" s="26" t="s">
        <v>64</v>
      </c>
      <c r="F1966" t="s">
        <v>21</v>
      </c>
    </row>
    <row r="1967" spans="1:6" x14ac:dyDescent="0.3">
      <c r="A1967" s="60">
        <v>44579</v>
      </c>
      <c r="B1967" s="11">
        <v>177</v>
      </c>
      <c r="C1967" s="11"/>
      <c r="D1967" s="11"/>
      <c r="E1967" s="26" t="s">
        <v>64</v>
      </c>
      <c r="F1967" t="s">
        <v>21</v>
      </c>
    </row>
    <row r="1968" spans="1:6" x14ac:dyDescent="0.3">
      <c r="A1968" s="60">
        <v>44580</v>
      </c>
      <c r="B1968" s="11">
        <v>295</v>
      </c>
      <c r="C1968" s="11"/>
      <c r="D1968" s="11"/>
      <c r="E1968" s="26" t="s">
        <v>64</v>
      </c>
      <c r="F1968" t="s">
        <v>21</v>
      </c>
    </row>
    <row r="1969" spans="1:6" x14ac:dyDescent="0.3">
      <c r="A1969" s="66">
        <v>44580</v>
      </c>
      <c r="B1969" s="11">
        <v>485</v>
      </c>
      <c r="C1969" s="11"/>
      <c r="D1969" s="11"/>
      <c r="E1969" s="26" t="s">
        <v>64</v>
      </c>
      <c r="F1969" t="s">
        <v>21</v>
      </c>
    </row>
    <row r="1970" spans="1:6" x14ac:dyDescent="0.3">
      <c r="A1970" s="66">
        <v>44580</v>
      </c>
      <c r="B1970" s="11">
        <v>446</v>
      </c>
      <c r="C1970" s="11"/>
      <c r="D1970" s="11"/>
      <c r="E1970" s="26" t="s">
        <v>64</v>
      </c>
      <c r="F1970" t="s">
        <v>21</v>
      </c>
    </row>
    <row r="1971" spans="1:6" x14ac:dyDescent="0.3">
      <c r="A1971" s="66">
        <v>44580</v>
      </c>
      <c r="B1971" s="11">
        <v>444</v>
      </c>
      <c r="C1971" s="11"/>
      <c r="D1971" s="11"/>
      <c r="E1971" s="26" t="s">
        <v>64</v>
      </c>
      <c r="F1971" t="s">
        <v>21</v>
      </c>
    </row>
    <row r="1972" spans="1:6" x14ac:dyDescent="0.3">
      <c r="A1972" s="52">
        <v>44587</v>
      </c>
      <c r="B1972" s="11">
        <v>476</v>
      </c>
      <c r="C1972" s="11"/>
      <c r="D1972" s="11"/>
      <c r="E1972" s="26" t="s">
        <v>64</v>
      </c>
      <c r="F1972" t="s">
        <v>21</v>
      </c>
    </row>
    <row r="1973" spans="1:6" x14ac:dyDescent="0.3">
      <c r="A1973" s="66">
        <v>44587</v>
      </c>
      <c r="B1973" s="11">
        <v>491</v>
      </c>
      <c r="C1973" s="11"/>
      <c r="D1973" s="11"/>
      <c r="E1973" s="26" t="s">
        <v>64</v>
      </c>
      <c r="F1973" t="s">
        <v>21</v>
      </c>
    </row>
    <row r="1974" spans="1:6" x14ac:dyDescent="0.3">
      <c r="A1974" s="66">
        <v>44587</v>
      </c>
      <c r="B1974" s="11">
        <v>258</v>
      </c>
      <c r="C1974" s="11"/>
      <c r="D1974" s="11"/>
      <c r="E1974" s="26" t="s">
        <v>64</v>
      </c>
      <c r="F1974" t="s">
        <v>21</v>
      </c>
    </row>
    <row r="1975" spans="1:6" x14ac:dyDescent="0.3">
      <c r="A1975" s="60">
        <v>44595</v>
      </c>
      <c r="B1975" s="11">
        <v>222</v>
      </c>
      <c r="C1975" s="11"/>
      <c r="D1975" s="11"/>
      <c r="E1975" s="26" t="s">
        <v>64</v>
      </c>
      <c r="F1975" t="s">
        <v>21</v>
      </c>
    </row>
    <row r="1976" spans="1:6" x14ac:dyDescent="0.3">
      <c r="A1976" s="60">
        <v>44596</v>
      </c>
      <c r="B1976" s="11">
        <v>202</v>
      </c>
      <c r="C1976" s="11"/>
      <c r="D1976" s="11"/>
      <c r="E1976" s="26" t="s">
        <v>64</v>
      </c>
      <c r="F1976" t="s">
        <v>21</v>
      </c>
    </row>
    <row r="1977" spans="1:6" x14ac:dyDescent="0.3">
      <c r="A1977" s="60">
        <v>44599</v>
      </c>
      <c r="B1977" s="11">
        <v>368</v>
      </c>
      <c r="C1977" s="11"/>
      <c r="D1977" s="11"/>
      <c r="E1977" s="26" t="s">
        <v>64</v>
      </c>
      <c r="F1977" t="s">
        <v>21</v>
      </c>
    </row>
    <row r="1978" spans="1:6" x14ac:dyDescent="0.3">
      <c r="A1978" s="60">
        <v>44600</v>
      </c>
      <c r="B1978" s="11">
        <v>87</v>
      </c>
      <c r="C1978" s="11"/>
      <c r="D1978" s="11"/>
      <c r="E1978" s="26" t="s">
        <v>64</v>
      </c>
      <c r="F1978" t="s">
        <v>21</v>
      </c>
    </row>
    <row r="1979" spans="1:6" x14ac:dyDescent="0.3">
      <c r="A1979" s="60">
        <v>44600</v>
      </c>
      <c r="B1979" s="11">
        <v>257</v>
      </c>
      <c r="C1979" s="11"/>
      <c r="D1979" s="11"/>
      <c r="E1979" s="26" t="s">
        <v>64</v>
      </c>
      <c r="F1979" t="s">
        <v>21</v>
      </c>
    </row>
    <row r="1980" spans="1:6" x14ac:dyDescent="0.3">
      <c r="A1980" s="60">
        <v>44601</v>
      </c>
      <c r="B1980" s="11">
        <v>189</v>
      </c>
      <c r="C1980" s="11"/>
      <c r="D1980" s="11"/>
      <c r="E1980" s="26" t="s">
        <v>64</v>
      </c>
      <c r="F1980" t="s">
        <v>21</v>
      </c>
    </row>
    <row r="1981" spans="1:6" x14ac:dyDescent="0.3">
      <c r="A1981" s="60">
        <v>44601</v>
      </c>
      <c r="B1981" s="11">
        <v>173</v>
      </c>
      <c r="C1981" s="11"/>
      <c r="D1981" s="11"/>
      <c r="E1981" s="26" t="s">
        <v>64</v>
      </c>
      <c r="F1981" t="s">
        <v>21</v>
      </c>
    </row>
    <row r="1982" spans="1:6" x14ac:dyDescent="0.3">
      <c r="A1982" s="60">
        <v>44603</v>
      </c>
      <c r="B1982" s="11">
        <v>246</v>
      </c>
      <c r="C1982" s="11"/>
      <c r="D1982" s="11"/>
      <c r="E1982" s="26" t="s">
        <v>64</v>
      </c>
      <c r="F1982" t="s">
        <v>21</v>
      </c>
    </row>
    <row r="1983" spans="1:6" x14ac:dyDescent="0.3">
      <c r="A1983" s="60">
        <v>44606</v>
      </c>
      <c r="B1983" s="11">
        <v>178</v>
      </c>
      <c r="C1983" s="11"/>
      <c r="D1983" s="11"/>
      <c r="E1983" s="26" t="s">
        <v>64</v>
      </c>
      <c r="F1983" t="s">
        <v>21</v>
      </c>
    </row>
    <row r="1984" spans="1:6" x14ac:dyDescent="0.3">
      <c r="A1984" s="60">
        <v>44607</v>
      </c>
      <c r="B1984" s="11">
        <v>172</v>
      </c>
      <c r="C1984" s="11"/>
      <c r="D1984" s="11"/>
      <c r="E1984" s="26" t="s">
        <v>64</v>
      </c>
      <c r="F1984" t="s">
        <v>21</v>
      </c>
    </row>
    <row r="1985" spans="1:6" x14ac:dyDescent="0.3">
      <c r="A1985" s="60">
        <v>44608</v>
      </c>
      <c r="B1985" s="11">
        <v>79</v>
      </c>
      <c r="C1985" s="11"/>
      <c r="D1985" s="11"/>
      <c r="E1985" s="26" t="s">
        <v>64</v>
      </c>
      <c r="F1985" t="s">
        <v>21</v>
      </c>
    </row>
    <row r="1986" spans="1:6" x14ac:dyDescent="0.3">
      <c r="A1986" s="60">
        <v>44608</v>
      </c>
      <c r="B1986" s="11">
        <v>335</v>
      </c>
      <c r="C1986" s="11"/>
      <c r="D1986" s="11"/>
      <c r="E1986" s="26" t="s">
        <v>64</v>
      </c>
      <c r="F1986" t="s">
        <v>21</v>
      </c>
    </row>
    <row r="1987" spans="1:6" x14ac:dyDescent="0.3">
      <c r="A1987" s="60">
        <v>44609</v>
      </c>
      <c r="B1987" s="11">
        <v>88</v>
      </c>
      <c r="C1987" s="11"/>
      <c r="D1987" s="11"/>
      <c r="E1987" s="26" t="s">
        <v>64</v>
      </c>
      <c r="F1987" t="s">
        <v>21</v>
      </c>
    </row>
    <row r="1988" spans="1:6" x14ac:dyDescent="0.3">
      <c r="A1988" s="60">
        <v>44609</v>
      </c>
      <c r="B1988" s="11">
        <v>175</v>
      </c>
      <c r="C1988" s="11"/>
      <c r="D1988" s="11"/>
      <c r="E1988" s="26" t="s">
        <v>64</v>
      </c>
      <c r="F1988" t="s">
        <v>21</v>
      </c>
    </row>
    <row r="1989" spans="1:6" x14ac:dyDescent="0.3">
      <c r="A1989" s="60">
        <v>44610</v>
      </c>
      <c r="B1989" s="11">
        <v>257</v>
      </c>
      <c r="C1989" s="11"/>
      <c r="D1989" s="11"/>
      <c r="E1989" s="26" t="s">
        <v>64</v>
      </c>
      <c r="F1989" t="s">
        <v>21</v>
      </c>
    </row>
    <row r="1990" spans="1:6" x14ac:dyDescent="0.3">
      <c r="A1990" s="60">
        <v>44610</v>
      </c>
      <c r="B1990" s="11">
        <v>82</v>
      </c>
      <c r="C1990" s="11"/>
      <c r="D1990" s="11"/>
      <c r="E1990" s="26" t="s">
        <v>64</v>
      </c>
      <c r="F1990" t="s">
        <v>21</v>
      </c>
    </row>
    <row r="1991" spans="1:6" x14ac:dyDescent="0.3">
      <c r="A1991" s="60">
        <v>44613</v>
      </c>
      <c r="B1991" s="11">
        <v>357</v>
      </c>
      <c r="C1991" s="11"/>
      <c r="D1991" s="11"/>
      <c r="E1991" s="26" t="s">
        <v>64</v>
      </c>
      <c r="F1991" t="s">
        <v>21</v>
      </c>
    </row>
    <row r="1992" spans="1:6" x14ac:dyDescent="0.3">
      <c r="A1992" s="60">
        <v>44615</v>
      </c>
      <c r="B1992" s="11">
        <v>179</v>
      </c>
      <c r="C1992" s="11"/>
      <c r="D1992" s="11"/>
      <c r="E1992" s="26" t="s">
        <v>64</v>
      </c>
      <c r="F1992" t="s">
        <v>21</v>
      </c>
    </row>
    <row r="1993" spans="1:6" x14ac:dyDescent="0.3">
      <c r="A1993" s="60">
        <v>44616</v>
      </c>
      <c r="B1993" s="11">
        <v>247</v>
      </c>
      <c r="C1993" s="11"/>
      <c r="D1993" s="11"/>
      <c r="E1993" s="26" t="s">
        <v>64</v>
      </c>
      <c r="F1993" t="s">
        <v>21</v>
      </c>
    </row>
    <row r="1994" spans="1:6" x14ac:dyDescent="0.3">
      <c r="A1994" s="60">
        <v>44617</v>
      </c>
      <c r="B1994" s="11">
        <v>248</v>
      </c>
      <c r="C1994" s="11"/>
      <c r="D1994" s="11"/>
      <c r="E1994" s="26" t="s">
        <v>64</v>
      </c>
      <c r="F1994" t="s">
        <v>21</v>
      </c>
    </row>
    <row r="1995" spans="1:6" x14ac:dyDescent="0.3">
      <c r="A1995" s="60">
        <v>44621</v>
      </c>
      <c r="B1995" s="11">
        <v>172</v>
      </c>
      <c r="C1995" s="11"/>
      <c r="D1995" s="11"/>
      <c r="E1995" s="26" t="s">
        <v>64</v>
      </c>
      <c r="F1995" t="s">
        <v>21</v>
      </c>
    </row>
    <row r="1996" spans="1:6" x14ac:dyDescent="0.3">
      <c r="A1996" s="60">
        <v>44622</v>
      </c>
      <c r="B1996" s="11">
        <v>306</v>
      </c>
      <c r="C1996" s="11"/>
      <c r="D1996" s="11"/>
      <c r="E1996" s="26" t="s">
        <v>64</v>
      </c>
      <c r="F1996" t="s">
        <v>21</v>
      </c>
    </row>
    <row r="1997" spans="1:6" x14ac:dyDescent="0.3">
      <c r="A1997" s="60">
        <v>44623</v>
      </c>
      <c r="B1997" s="11">
        <v>80</v>
      </c>
      <c r="C1997" s="11"/>
      <c r="D1997" s="11"/>
      <c r="E1997" s="26" t="s">
        <v>64</v>
      </c>
      <c r="F1997" t="s">
        <v>21</v>
      </c>
    </row>
    <row r="1998" spans="1:6" x14ac:dyDescent="0.3">
      <c r="A1998" s="60">
        <v>44623</v>
      </c>
      <c r="B1998" s="11">
        <v>237</v>
      </c>
      <c r="C1998" s="11"/>
      <c r="D1998" s="11"/>
      <c r="E1998" s="26" t="s">
        <v>64</v>
      </c>
      <c r="F1998" t="s">
        <v>21</v>
      </c>
    </row>
    <row r="1999" spans="1:6" x14ac:dyDescent="0.3">
      <c r="A1999" s="60">
        <v>44624</v>
      </c>
      <c r="B1999" s="11">
        <v>148</v>
      </c>
      <c r="C1999" s="11"/>
      <c r="D1999" s="11"/>
      <c r="E1999" s="26" t="s">
        <v>64</v>
      </c>
      <c r="F1999" t="s">
        <v>21</v>
      </c>
    </row>
    <row r="2000" spans="1:6" x14ac:dyDescent="0.3">
      <c r="A2000" s="60">
        <v>44624</v>
      </c>
      <c r="B2000" s="11">
        <v>74</v>
      </c>
      <c r="C2000" s="11"/>
      <c r="D2000" s="11"/>
      <c r="E2000" s="26" t="s">
        <v>64</v>
      </c>
      <c r="F2000" t="s">
        <v>21</v>
      </c>
    </row>
    <row r="2001" spans="1:6" x14ac:dyDescent="0.3">
      <c r="A2001" s="60">
        <v>44627</v>
      </c>
      <c r="B2001" s="11">
        <v>179</v>
      </c>
      <c r="C2001" s="11"/>
      <c r="D2001" s="11"/>
      <c r="E2001" s="26" t="s">
        <v>64</v>
      </c>
      <c r="F2001" t="s">
        <v>21</v>
      </c>
    </row>
    <row r="2002" spans="1:6" x14ac:dyDescent="0.3">
      <c r="A2002" s="60">
        <v>44628</v>
      </c>
      <c r="B2002" s="11">
        <v>183</v>
      </c>
      <c r="C2002" s="11"/>
      <c r="D2002" s="11"/>
      <c r="E2002" s="26" t="s">
        <v>64</v>
      </c>
      <c r="F2002" t="s">
        <v>21</v>
      </c>
    </row>
    <row r="2003" spans="1:6" x14ac:dyDescent="0.3">
      <c r="A2003" s="60">
        <v>44629</v>
      </c>
      <c r="B2003" s="11">
        <v>173</v>
      </c>
      <c r="C2003" s="11"/>
      <c r="D2003" s="11"/>
      <c r="E2003" s="26" t="s">
        <v>64</v>
      </c>
      <c r="F2003" t="s">
        <v>21</v>
      </c>
    </row>
    <row r="2004" spans="1:6" x14ac:dyDescent="0.3">
      <c r="A2004" s="60">
        <v>44630</v>
      </c>
      <c r="B2004" s="11">
        <v>233</v>
      </c>
      <c r="C2004" s="11"/>
      <c r="D2004" s="11"/>
      <c r="E2004" s="26" t="s">
        <v>64</v>
      </c>
      <c r="F2004" t="s">
        <v>21</v>
      </c>
    </row>
    <row r="2005" spans="1:6" x14ac:dyDescent="0.3">
      <c r="A2005" s="60">
        <v>44634</v>
      </c>
      <c r="B2005" s="11">
        <v>166</v>
      </c>
      <c r="C2005" s="11"/>
      <c r="D2005" s="11"/>
      <c r="E2005" s="26" t="s">
        <v>64</v>
      </c>
      <c r="F2005" t="s">
        <v>21</v>
      </c>
    </row>
    <row r="2006" spans="1:6" x14ac:dyDescent="0.3">
      <c r="A2006" s="60">
        <v>44635</v>
      </c>
      <c r="B2006" s="11">
        <v>176</v>
      </c>
      <c r="C2006" s="11"/>
      <c r="D2006" s="11"/>
      <c r="E2006" s="26" t="s">
        <v>64</v>
      </c>
      <c r="F2006" t="s">
        <v>21</v>
      </c>
    </row>
    <row r="2007" spans="1:6" x14ac:dyDescent="0.3">
      <c r="A2007" s="60">
        <v>44636</v>
      </c>
      <c r="B2007" s="11">
        <v>74</v>
      </c>
      <c r="C2007" s="11"/>
      <c r="D2007" s="11"/>
      <c r="E2007" s="26" t="s">
        <v>64</v>
      </c>
      <c r="F2007" t="s">
        <v>21</v>
      </c>
    </row>
    <row r="2008" spans="1:6" x14ac:dyDescent="0.3">
      <c r="A2008" s="60">
        <v>44636</v>
      </c>
      <c r="B2008" s="11">
        <v>148</v>
      </c>
      <c r="C2008" s="11"/>
      <c r="D2008" s="11"/>
      <c r="E2008" s="26" t="s">
        <v>64</v>
      </c>
      <c r="F2008" t="s">
        <v>21</v>
      </c>
    </row>
    <row r="2009" spans="1:6" x14ac:dyDescent="0.3">
      <c r="A2009" s="60">
        <v>44637</v>
      </c>
      <c r="B2009" s="11">
        <v>239</v>
      </c>
      <c r="C2009" s="11"/>
      <c r="D2009" s="11"/>
      <c r="E2009" s="26" t="s">
        <v>64</v>
      </c>
      <c r="F2009" t="s">
        <v>21</v>
      </c>
    </row>
    <row r="2010" spans="1:6" x14ac:dyDescent="0.3">
      <c r="A2010" s="60">
        <v>44638</v>
      </c>
      <c r="B2010" s="11">
        <v>227</v>
      </c>
      <c r="C2010" s="11"/>
      <c r="D2010" s="11"/>
      <c r="E2010" s="26" t="s">
        <v>64</v>
      </c>
      <c r="F2010" t="s">
        <v>21</v>
      </c>
    </row>
    <row r="2011" spans="1:6" x14ac:dyDescent="0.3">
      <c r="A2011" s="60">
        <v>44643</v>
      </c>
      <c r="B2011" s="11">
        <v>181</v>
      </c>
      <c r="C2011" s="11"/>
      <c r="D2011" s="11"/>
      <c r="E2011" s="26" t="s">
        <v>64</v>
      </c>
      <c r="F2011" t="s">
        <v>21</v>
      </c>
    </row>
    <row r="2012" spans="1:6" x14ac:dyDescent="0.3">
      <c r="A2012" s="60">
        <v>44644</v>
      </c>
      <c r="B2012" s="11">
        <v>232</v>
      </c>
      <c r="C2012" s="11"/>
      <c r="D2012" s="11"/>
      <c r="E2012" s="26" t="s">
        <v>64</v>
      </c>
      <c r="F2012" t="s">
        <v>21</v>
      </c>
    </row>
    <row r="2013" spans="1:6" x14ac:dyDescent="0.3">
      <c r="A2013" s="60">
        <v>44645</v>
      </c>
      <c r="B2013" s="11">
        <v>142</v>
      </c>
      <c r="C2013" s="11"/>
      <c r="D2013" s="11"/>
      <c r="E2013" s="26" t="s">
        <v>64</v>
      </c>
      <c r="F2013" t="s">
        <v>21</v>
      </c>
    </row>
    <row r="2014" spans="1:6" x14ac:dyDescent="0.3">
      <c r="A2014" s="60">
        <v>44645</v>
      </c>
      <c r="B2014" s="11">
        <v>143</v>
      </c>
      <c r="C2014" s="11"/>
      <c r="D2014" s="11"/>
      <c r="E2014" s="26" t="s">
        <v>64</v>
      </c>
      <c r="F2014" t="s">
        <v>21</v>
      </c>
    </row>
    <row r="2015" spans="1:6" x14ac:dyDescent="0.3">
      <c r="A2015" s="60">
        <v>44650</v>
      </c>
      <c r="B2015" s="11">
        <v>224</v>
      </c>
      <c r="C2015" s="11"/>
      <c r="D2015" s="11"/>
      <c r="E2015" s="26" t="s">
        <v>64</v>
      </c>
      <c r="F2015" t="s">
        <v>21</v>
      </c>
    </row>
    <row r="2016" spans="1:6" x14ac:dyDescent="0.3">
      <c r="A2016" s="60">
        <v>44651</v>
      </c>
      <c r="B2016" s="11">
        <v>215</v>
      </c>
      <c r="C2016" s="11"/>
      <c r="D2016" s="11"/>
      <c r="E2016" s="26" t="s">
        <v>64</v>
      </c>
      <c r="F2016" t="s">
        <v>21</v>
      </c>
    </row>
    <row r="2017" spans="1:6" x14ac:dyDescent="0.3">
      <c r="A2017" s="60">
        <v>44652</v>
      </c>
      <c r="B2017" s="11">
        <v>145</v>
      </c>
      <c r="C2017" s="11"/>
      <c r="D2017" s="11"/>
      <c r="E2017" s="26" t="s">
        <v>64</v>
      </c>
      <c r="F2017" t="s">
        <v>21</v>
      </c>
    </row>
    <row r="2018" spans="1:6" x14ac:dyDescent="0.3">
      <c r="A2018" s="60">
        <v>44652</v>
      </c>
      <c r="B2018" s="11">
        <v>155</v>
      </c>
      <c r="C2018" s="11"/>
      <c r="D2018" s="11"/>
      <c r="E2018" s="26" t="s">
        <v>64</v>
      </c>
      <c r="F2018" t="s">
        <v>21</v>
      </c>
    </row>
    <row r="2019" spans="1:6" x14ac:dyDescent="0.3">
      <c r="A2019" s="60">
        <v>44658</v>
      </c>
      <c r="B2019" s="11">
        <v>232</v>
      </c>
      <c r="C2019" s="11"/>
      <c r="D2019" s="11"/>
      <c r="E2019" s="26" t="s">
        <v>64</v>
      </c>
      <c r="F2019" t="s">
        <v>21</v>
      </c>
    </row>
    <row r="2020" spans="1:6" x14ac:dyDescent="0.3">
      <c r="A2020" s="60">
        <v>44659</v>
      </c>
      <c r="B2020" s="11">
        <v>80</v>
      </c>
      <c r="C2020" s="11"/>
      <c r="D2020" s="11"/>
      <c r="E2020" s="26" t="s">
        <v>64</v>
      </c>
      <c r="F2020" t="s">
        <v>21</v>
      </c>
    </row>
    <row r="2021" spans="1:6" x14ac:dyDescent="0.3">
      <c r="A2021" s="60">
        <v>44664</v>
      </c>
      <c r="B2021" s="11">
        <v>144</v>
      </c>
      <c r="C2021" s="11"/>
      <c r="D2021" s="11"/>
      <c r="E2021" s="26" t="s">
        <v>64</v>
      </c>
      <c r="F2021" t="s">
        <v>21</v>
      </c>
    </row>
    <row r="2022" spans="1:6" x14ac:dyDescent="0.3">
      <c r="A2022" s="60">
        <v>44665</v>
      </c>
      <c r="B2022" s="11">
        <v>137</v>
      </c>
      <c r="C2022" s="11"/>
      <c r="D2022" s="11"/>
      <c r="E2022" s="26" t="s">
        <v>64</v>
      </c>
      <c r="F2022" t="s">
        <v>21</v>
      </c>
    </row>
    <row r="2023" spans="1:6" x14ac:dyDescent="0.3">
      <c r="A2023" s="60">
        <v>44665</v>
      </c>
      <c r="B2023" s="11">
        <v>73</v>
      </c>
      <c r="C2023" s="11"/>
      <c r="D2023" s="11"/>
      <c r="E2023" s="26" t="s">
        <v>64</v>
      </c>
      <c r="F2023" t="s">
        <v>21</v>
      </c>
    </row>
    <row r="2024" spans="1:6" x14ac:dyDescent="0.3">
      <c r="A2024" s="60">
        <v>44672</v>
      </c>
      <c r="B2024" s="11">
        <v>74</v>
      </c>
      <c r="C2024" s="11"/>
      <c r="D2024" s="11"/>
      <c r="E2024" s="26" t="s">
        <v>64</v>
      </c>
      <c r="F2024" t="s">
        <v>21</v>
      </c>
    </row>
    <row r="2025" spans="1:6" x14ac:dyDescent="0.3">
      <c r="A2025" s="60">
        <v>44672</v>
      </c>
      <c r="B2025" s="11">
        <v>227</v>
      </c>
      <c r="C2025" s="11"/>
      <c r="D2025" s="11"/>
      <c r="E2025" s="26" t="s">
        <v>64</v>
      </c>
      <c r="F2025" t="s">
        <v>21</v>
      </c>
    </row>
    <row r="2026" spans="1:6" x14ac:dyDescent="0.3">
      <c r="A2026" s="60">
        <v>44673</v>
      </c>
      <c r="B2026" s="11">
        <v>154</v>
      </c>
      <c r="C2026" s="11"/>
      <c r="D2026" s="11"/>
      <c r="E2026" s="26" t="s">
        <v>64</v>
      </c>
      <c r="F2026" t="s">
        <v>21</v>
      </c>
    </row>
    <row r="2027" spans="1:6" x14ac:dyDescent="0.3">
      <c r="A2027" s="60">
        <v>44678</v>
      </c>
      <c r="B2027" s="11">
        <v>281</v>
      </c>
      <c r="C2027" s="11"/>
      <c r="D2027" s="11"/>
      <c r="E2027" s="26" t="s">
        <v>64</v>
      </c>
      <c r="F2027" t="s">
        <v>21</v>
      </c>
    </row>
    <row r="2028" spans="1:6" x14ac:dyDescent="0.3">
      <c r="A2028" s="60">
        <v>44679</v>
      </c>
      <c r="B2028" s="11">
        <v>68</v>
      </c>
      <c r="C2028" s="11"/>
      <c r="D2028" s="11"/>
      <c r="E2028" s="26" t="s">
        <v>64</v>
      </c>
      <c r="F2028" t="s">
        <v>21</v>
      </c>
    </row>
    <row r="2029" spans="1:6" x14ac:dyDescent="0.3">
      <c r="A2029" s="60">
        <v>44679</v>
      </c>
      <c r="B2029" s="11">
        <v>141</v>
      </c>
      <c r="C2029" s="11"/>
      <c r="D2029" s="11"/>
      <c r="E2029" s="26" t="s">
        <v>64</v>
      </c>
      <c r="F2029" t="s">
        <v>21</v>
      </c>
    </row>
    <row r="2030" spans="1:6" x14ac:dyDescent="0.3">
      <c r="A2030" s="60">
        <v>44680</v>
      </c>
      <c r="B2030" s="11">
        <v>145</v>
      </c>
      <c r="C2030" s="11"/>
      <c r="D2030" s="11"/>
      <c r="E2030" s="26" t="s">
        <v>64</v>
      </c>
      <c r="F2030" t="s">
        <v>21</v>
      </c>
    </row>
    <row r="2031" spans="1:6" x14ac:dyDescent="0.3">
      <c r="A2031" s="60">
        <v>44685</v>
      </c>
      <c r="B2031" s="11">
        <v>67</v>
      </c>
      <c r="C2031" s="11"/>
      <c r="D2031" s="11"/>
      <c r="E2031" s="26" t="s">
        <v>64</v>
      </c>
      <c r="F2031" t="s">
        <v>21</v>
      </c>
    </row>
    <row r="2032" spans="1:6" x14ac:dyDescent="0.3">
      <c r="A2032" s="60">
        <v>44687</v>
      </c>
      <c r="B2032" s="11">
        <v>146</v>
      </c>
      <c r="C2032" s="11"/>
      <c r="D2032" s="11"/>
      <c r="E2032" s="26" t="s">
        <v>64</v>
      </c>
      <c r="F2032" t="s">
        <v>21</v>
      </c>
    </row>
    <row r="2033" spans="1:6" x14ac:dyDescent="0.3">
      <c r="A2033" s="60">
        <v>44691</v>
      </c>
      <c r="B2033" s="11">
        <v>68</v>
      </c>
      <c r="C2033" s="11"/>
      <c r="D2033" s="11"/>
      <c r="E2033" s="26" t="s">
        <v>64</v>
      </c>
      <c r="F2033" t="s">
        <v>21</v>
      </c>
    </row>
    <row r="2034" spans="1:6" x14ac:dyDescent="0.3">
      <c r="A2034" s="60">
        <v>44691</v>
      </c>
      <c r="B2034" s="11">
        <v>212</v>
      </c>
      <c r="C2034" s="11"/>
      <c r="D2034" s="11"/>
      <c r="E2034" s="26" t="s">
        <v>64</v>
      </c>
      <c r="F2034" t="s">
        <v>21</v>
      </c>
    </row>
    <row r="2035" spans="1:6" x14ac:dyDescent="0.3">
      <c r="A2035" s="60">
        <v>44692</v>
      </c>
      <c r="B2035" s="11">
        <v>141</v>
      </c>
      <c r="C2035" s="11"/>
      <c r="D2035" s="11"/>
      <c r="E2035" s="26" t="s">
        <v>64</v>
      </c>
      <c r="F2035" t="s">
        <v>21</v>
      </c>
    </row>
    <row r="2036" spans="1:6" x14ac:dyDescent="0.3">
      <c r="A2036" s="60">
        <v>44694</v>
      </c>
      <c r="B2036" s="11">
        <v>332</v>
      </c>
      <c r="C2036" s="11"/>
      <c r="D2036" s="11"/>
      <c r="E2036" s="26" t="s">
        <v>64</v>
      </c>
      <c r="F2036" t="s">
        <v>21</v>
      </c>
    </row>
    <row r="2037" spans="1:6" x14ac:dyDescent="0.3">
      <c r="A2037" s="60">
        <v>44698</v>
      </c>
      <c r="B2037" s="11">
        <v>199</v>
      </c>
      <c r="C2037" s="11"/>
      <c r="D2037" s="11"/>
      <c r="E2037" s="26" t="s">
        <v>64</v>
      </c>
      <c r="F2037" t="s">
        <v>21</v>
      </c>
    </row>
    <row r="2038" spans="1:6" x14ac:dyDescent="0.3">
      <c r="A2038" s="60">
        <v>44699</v>
      </c>
      <c r="B2038" s="11">
        <v>116</v>
      </c>
      <c r="C2038" s="11"/>
      <c r="D2038" s="11"/>
      <c r="E2038" s="26" t="s">
        <v>64</v>
      </c>
      <c r="F2038" t="s">
        <v>21</v>
      </c>
    </row>
    <row r="2039" spans="1:6" x14ac:dyDescent="0.3">
      <c r="A2039" s="60">
        <v>44701</v>
      </c>
      <c r="B2039" s="11">
        <v>119</v>
      </c>
      <c r="C2039" s="11"/>
      <c r="D2039" s="11"/>
      <c r="E2039" s="26" t="s">
        <v>64</v>
      </c>
      <c r="F2039" t="s">
        <v>21</v>
      </c>
    </row>
    <row r="2040" spans="1:6" x14ac:dyDescent="0.3">
      <c r="A2040" s="60">
        <v>44706</v>
      </c>
      <c r="B2040" s="11">
        <v>131</v>
      </c>
      <c r="C2040" s="11"/>
      <c r="D2040" s="11"/>
      <c r="E2040" s="26" t="s">
        <v>64</v>
      </c>
      <c r="F2040" t="s">
        <v>21</v>
      </c>
    </row>
    <row r="2041" spans="1:6" x14ac:dyDescent="0.3">
      <c r="A2041" s="60">
        <v>44708</v>
      </c>
      <c r="B2041" s="11">
        <v>197</v>
      </c>
      <c r="C2041" s="11"/>
      <c r="D2041" s="11"/>
      <c r="E2041" s="26" t="s">
        <v>64</v>
      </c>
      <c r="F2041" t="s">
        <v>21</v>
      </c>
    </row>
    <row r="2042" spans="1:6" x14ac:dyDescent="0.3">
      <c r="A2042" s="67">
        <v>44713</v>
      </c>
      <c r="B2042" s="11">
        <v>121</v>
      </c>
      <c r="C2042" s="11"/>
      <c r="D2042" s="11"/>
      <c r="E2042" s="26" t="s">
        <v>64</v>
      </c>
      <c r="F2042" t="s">
        <v>21</v>
      </c>
    </row>
    <row r="2043" spans="1:6" x14ac:dyDescent="0.3">
      <c r="A2043" s="67">
        <v>44715</v>
      </c>
      <c r="B2043" s="11">
        <v>207</v>
      </c>
      <c r="C2043" s="11"/>
      <c r="D2043" s="11"/>
      <c r="E2043" s="26" t="s">
        <v>64</v>
      </c>
      <c r="F2043" t="s">
        <v>21</v>
      </c>
    </row>
    <row r="2044" spans="1:6" x14ac:dyDescent="0.3">
      <c r="A2044" s="67">
        <v>44719</v>
      </c>
      <c r="B2044" s="11">
        <v>143</v>
      </c>
      <c r="C2044" s="11"/>
      <c r="D2044" s="11"/>
      <c r="E2044" s="26" t="s">
        <v>64</v>
      </c>
      <c r="F2044" t="s">
        <v>21</v>
      </c>
    </row>
    <row r="2045" spans="1:6" ht="15.6" x14ac:dyDescent="0.3">
      <c r="A2045" s="67">
        <v>44719</v>
      </c>
      <c r="B2045" s="11">
        <v>146</v>
      </c>
      <c r="C2045" s="11"/>
      <c r="D2045" s="14"/>
      <c r="E2045" s="26" t="s">
        <v>64</v>
      </c>
      <c r="F2045" t="s">
        <v>21</v>
      </c>
    </row>
    <row r="2046" spans="1:6" ht="15.6" x14ac:dyDescent="0.3">
      <c r="A2046" s="67">
        <v>44720</v>
      </c>
      <c r="B2046" s="11">
        <v>229</v>
      </c>
      <c r="C2046" s="11"/>
      <c r="D2046" s="14"/>
      <c r="E2046" s="26" t="s">
        <v>64</v>
      </c>
      <c r="F2046" t="s">
        <v>21</v>
      </c>
    </row>
    <row r="2047" spans="1:6" ht="15.6" x14ac:dyDescent="0.3">
      <c r="A2047" s="67">
        <v>44722</v>
      </c>
      <c r="B2047" s="11">
        <v>218</v>
      </c>
      <c r="C2047" s="11"/>
      <c r="D2047" s="14"/>
      <c r="E2047" s="26" t="s">
        <v>64</v>
      </c>
      <c r="F2047" t="s">
        <v>21</v>
      </c>
    </row>
    <row r="2048" spans="1:6" ht="15.6" x14ac:dyDescent="0.3">
      <c r="A2048" s="67">
        <v>44726</v>
      </c>
      <c r="B2048" s="11">
        <v>146</v>
      </c>
      <c r="C2048" s="11"/>
      <c r="D2048" s="14"/>
      <c r="E2048" s="26" t="s">
        <v>64</v>
      </c>
      <c r="F2048" t="s">
        <v>21</v>
      </c>
    </row>
    <row r="2049" spans="1:6" ht="15.6" x14ac:dyDescent="0.3">
      <c r="A2049" s="67">
        <v>44726</v>
      </c>
      <c r="B2049" s="11">
        <v>137</v>
      </c>
      <c r="C2049" s="11"/>
      <c r="D2049" s="14"/>
      <c r="E2049" s="26" t="s">
        <v>64</v>
      </c>
      <c r="F2049" t="s">
        <v>21</v>
      </c>
    </row>
    <row r="2050" spans="1:6" ht="15.6" x14ac:dyDescent="0.3">
      <c r="A2050" s="67">
        <v>44727</v>
      </c>
      <c r="B2050" s="11">
        <v>209</v>
      </c>
      <c r="C2050" s="11"/>
      <c r="D2050" s="14"/>
      <c r="E2050" s="26" t="s">
        <v>64</v>
      </c>
      <c r="F2050" t="s">
        <v>21</v>
      </c>
    </row>
    <row r="2051" spans="1:6" ht="15.6" x14ac:dyDescent="0.3">
      <c r="A2051" s="67">
        <v>44729</v>
      </c>
      <c r="B2051" s="11">
        <v>205</v>
      </c>
      <c r="C2051" s="11"/>
      <c r="D2051" s="14"/>
      <c r="E2051" s="26" t="s">
        <v>64</v>
      </c>
      <c r="F2051" t="s">
        <v>21</v>
      </c>
    </row>
    <row r="2052" spans="1:6" ht="15.6" x14ac:dyDescent="0.3">
      <c r="A2052" s="67">
        <v>44733</v>
      </c>
      <c r="B2052" s="11">
        <v>141</v>
      </c>
      <c r="C2052" s="11"/>
      <c r="D2052" s="14"/>
      <c r="E2052" s="26" t="s">
        <v>64</v>
      </c>
      <c r="F2052" t="s">
        <v>21</v>
      </c>
    </row>
    <row r="2053" spans="1:6" ht="15.6" x14ac:dyDescent="0.3">
      <c r="A2053" s="67">
        <v>44733</v>
      </c>
      <c r="B2053" s="11">
        <v>146</v>
      </c>
      <c r="C2053" s="11"/>
      <c r="D2053" s="14"/>
      <c r="E2053" s="26" t="s">
        <v>64</v>
      </c>
      <c r="F2053" t="s">
        <v>21</v>
      </c>
    </row>
    <row r="2054" spans="1:6" ht="15.6" x14ac:dyDescent="0.3">
      <c r="A2054" s="67">
        <v>44734</v>
      </c>
      <c r="B2054" s="11">
        <v>285</v>
      </c>
      <c r="C2054" s="11"/>
      <c r="D2054" s="14"/>
      <c r="E2054" s="26" t="s">
        <v>64</v>
      </c>
      <c r="F2054" t="s">
        <v>21</v>
      </c>
    </row>
    <row r="2055" spans="1:6" ht="15.6" x14ac:dyDescent="0.3">
      <c r="A2055" s="60">
        <v>44736</v>
      </c>
      <c r="B2055" s="11">
        <v>208</v>
      </c>
      <c r="C2055" s="11"/>
      <c r="D2055" s="14"/>
      <c r="E2055" s="26" t="s">
        <v>64</v>
      </c>
      <c r="F2055" t="s">
        <v>21</v>
      </c>
    </row>
    <row r="2056" spans="1:6" ht="15.6" x14ac:dyDescent="0.3">
      <c r="A2056" s="60">
        <v>44739</v>
      </c>
      <c r="B2056" s="11">
        <v>130</v>
      </c>
      <c r="C2056" s="11"/>
      <c r="D2056" s="14"/>
      <c r="E2056" s="26" t="s">
        <v>64</v>
      </c>
      <c r="F2056" t="s">
        <v>21</v>
      </c>
    </row>
    <row r="2057" spans="1:6" ht="15.6" x14ac:dyDescent="0.3">
      <c r="A2057" s="60">
        <v>44740</v>
      </c>
      <c r="B2057" s="11">
        <v>181</v>
      </c>
      <c r="C2057" s="11"/>
      <c r="D2057" s="14"/>
      <c r="E2057" s="26" t="s">
        <v>64</v>
      </c>
      <c r="F2057" t="s">
        <v>21</v>
      </c>
    </row>
    <row r="2058" spans="1:6" ht="15.6" x14ac:dyDescent="0.3">
      <c r="A2058" s="60">
        <v>44741</v>
      </c>
      <c r="B2058" s="11">
        <v>121</v>
      </c>
      <c r="C2058" s="11"/>
      <c r="D2058" s="14"/>
      <c r="E2058" s="26" t="s">
        <v>64</v>
      </c>
      <c r="F2058" t="s">
        <v>21</v>
      </c>
    </row>
    <row r="2059" spans="1:6" ht="15.6" x14ac:dyDescent="0.3">
      <c r="A2059" s="60">
        <v>44741</v>
      </c>
      <c r="B2059" s="11">
        <v>126</v>
      </c>
      <c r="C2059" s="11"/>
      <c r="D2059" s="14"/>
      <c r="E2059" s="26" t="s">
        <v>64</v>
      </c>
      <c r="F2059" t="s">
        <v>21</v>
      </c>
    </row>
    <row r="2060" spans="1:6" ht="15.6" x14ac:dyDescent="0.3">
      <c r="A2060" s="60">
        <v>44742</v>
      </c>
      <c r="B2060" s="11">
        <v>201</v>
      </c>
      <c r="C2060" s="11"/>
      <c r="D2060" s="14"/>
      <c r="E2060" s="26" t="s">
        <v>64</v>
      </c>
      <c r="F2060" t="s">
        <v>21</v>
      </c>
    </row>
    <row r="2061" spans="1:6" ht="15.6" x14ac:dyDescent="0.3">
      <c r="A2061" s="60">
        <v>44763</v>
      </c>
      <c r="B2061" s="11">
        <v>83</v>
      </c>
      <c r="C2061" s="11"/>
      <c r="D2061" s="14"/>
      <c r="E2061" s="26" t="s">
        <v>64</v>
      </c>
      <c r="F2061" t="s">
        <v>21</v>
      </c>
    </row>
    <row r="2062" spans="1:6" ht="15.6" x14ac:dyDescent="0.3">
      <c r="A2062" s="60">
        <v>44764</v>
      </c>
      <c r="B2062" s="11">
        <v>98</v>
      </c>
      <c r="C2062" s="11"/>
      <c r="D2062" s="14"/>
      <c r="E2062" s="26" t="s">
        <v>64</v>
      </c>
      <c r="F2062" t="s">
        <v>21</v>
      </c>
    </row>
    <row r="2063" spans="1:6" ht="15.6" x14ac:dyDescent="0.3">
      <c r="A2063" s="60">
        <v>44767</v>
      </c>
      <c r="B2063" s="11">
        <v>110</v>
      </c>
      <c r="C2063" s="11"/>
      <c r="D2063" s="14"/>
      <c r="E2063" s="26" t="s">
        <v>64</v>
      </c>
      <c r="F2063" t="s">
        <v>21</v>
      </c>
    </row>
    <row r="2064" spans="1:6" ht="15.6" x14ac:dyDescent="0.3">
      <c r="A2064" s="60">
        <v>44768</v>
      </c>
      <c r="B2064" s="11">
        <v>114</v>
      </c>
      <c r="C2064" s="11"/>
      <c r="D2064" s="14"/>
      <c r="E2064" s="26" t="s">
        <v>64</v>
      </c>
      <c r="F2064" t="s">
        <v>21</v>
      </c>
    </row>
    <row r="2065" spans="1:6" ht="15.6" x14ac:dyDescent="0.3">
      <c r="A2065" s="60">
        <v>44769</v>
      </c>
      <c r="B2065" s="11">
        <v>106</v>
      </c>
      <c r="C2065" s="11"/>
      <c r="D2065" s="14"/>
      <c r="E2065" s="26" t="s">
        <v>64</v>
      </c>
      <c r="F2065" t="s">
        <v>21</v>
      </c>
    </row>
    <row r="2066" spans="1:6" ht="15.6" x14ac:dyDescent="0.3">
      <c r="A2066" s="60">
        <v>44770</v>
      </c>
      <c r="B2066" s="11">
        <v>109</v>
      </c>
      <c r="C2066" s="11"/>
      <c r="D2066" s="14"/>
      <c r="E2066" s="26" t="s">
        <v>64</v>
      </c>
      <c r="F2066" t="s">
        <v>21</v>
      </c>
    </row>
    <row r="2067" spans="1:6" ht="15.6" x14ac:dyDescent="0.3">
      <c r="A2067" s="60">
        <v>44771</v>
      </c>
      <c r="B2067" s="11">
        <v>109</v>
      </c>
      <c r="C2067" s="11"/>
      <c r="D2067" s="14"/>
      <c r="E2067" s="26" t="s">
        <v>64</v>
      </c>
      <c r="F2067" t="s">
        <v>21</v>
      </c>
    </row>
    <row r="2068" spans="1:6" ht="15.6" x14ac:dyDescent="0.3">
      <c r="A2068" s="60">
        <v>44774</v>
      </c>
      <c r="B2068" s="11">
        <v>106</v>
      </c>
      <c r="C2068" s="11"/>
      <c r="D2068" s="14"/>
      <c r="E2068" s="26" t="s">
        <v>64</v>
      </c>
      <c r="F2068" t="s">
        <v>21</v>
      </c>
    </row>
    <row r="2069" spans="1:6" ht="15.6" x14ac:dyDescent="0.3">
      <c r="A2069" s="60">
        <v>44788</v>
      </c>
      <c r="B2069" s="11">
        <v>108</v>
      </c>
      <c r="C2069" s="11"/>
      <c r="D2069" s="14"/>
      <c r="E2069" s="26" t="s">
        <v>64</v>
      </c>
      <c r="F2069" t="s">
        <v>21</v>
      </c>
    </row>
    <row r="2070" spans="1:6" ht="15.6" x14ac:dyDescent="0.3">
      <c r="A2070" s="60">
        <v>44788</v>
      </c>
      <c r="B2070" s="11">
        <v>112</v>
      </c>
      <c r="C2070" s="11"/>
      <c r="D2070" s="14"/>
      <c r="E2070" s="26" t="s">
        <v>64</v>
      </c>
      <c r="F2070" t="s">
        <v>21</v>
      </c>
    </row>
    <row r="2071" spans="1:6" ht="15.6" x14ac:dyDescent="0.3">
      <c r="A2071" s="60">
        <v>44788</v>
      </c>
      <c r="B2071" s="11">
        <v>112</v>
      </c>
      <c r="C2071" s="11"/>
      <c r="D2071" s="14"/>
      <c r="E2071" s="26" t="s">
        <v>64</v>
      </c>
      <c r="F2071" t="s">
        <v>21</v>
      </c>
    </row>
    <row r="2072" spans="1:6" ht="15.6" x14ac:dyDescent="0.3">
      <c r="A2072" s="60">
        <v>44788</v>
      </c>
      <c r="B2072" s="11">
        <v>103</v>
      </c>
      <c r="C2072" s="11"/>
      <c r="D2072" s="14"/>
      <c r="E2072" s="26" t="s">
        <v>64</v>
      </c>
      <c r="F2072" t="s">
        <v>21</v>
      </c>
    </row>
    <row r="2073" spans="1:6" ht="15.6" x14ac:dyDescent="0.3">
      <c r="A2073" s="60">
        <v>44789</v>
      </c>
      <c r="B2073" s="11">
        <v>106</v>
      </c>
      <c r="C2073" s="11"/>
      <c r="D2073" s="14"/>
      <c r="E2073" s="26" t="s">
        <v>64</v>
      </c>
      <c r="F2073" t="s">
        <v>21</v>
      </c>
    </row>
    <row r="2074" spans="1:6" ht="15.6" x14ac:dyDescent="0.3">
      <c r="A2074" s="60">
        <v>44789</v>
      </c>
      <c r="B2074" s="11">
        <v>110</v>
      </c>
      <c r="C2074" s="11"/>
      <c r="D2074" s="14"/>
      <c r="E2074" s="26" t="s">
        <v>64</v>
      </c>
      <c r="F2074" t="s">
        <v>21</v>
      </c>
    </row>
    <row r="2075" spans="1:6" ht="15.6" x14ac:dyDescent="0.3">
      <c r="A2075" s="60">
        <v>44791</v>
      </c>
      <c r="B2075" s="11">
        <v>108</v>
      </c>
      <c r="C2075" s="11"/>
      <c r="D2075" s="14"/>
      <c r="E2075" s="26" t="s">
        <v>64</v>
      </c>
      <c r="F2075" t="s">
        <v>21</v>
      </c>
    </row>
    <row r="2076" spans="1:6" ht="15.6" x14ac:dyDescent="0.3">
      <c r="A2076" s="60">
        <v>44791</v>
      </c>
      <c r="B2076" s="11">
        <v>108</v>
      </c>
      <c r="C2076" s="11"/>
      <c r="D2076" s="14"/>
      <c r="E2076" s="26" t="s">
        <v>64</v>
      </c>
      <c r="F2076" t="s">
        <v>21</v>
      </c>
    </row>
    <row r="2077" spans="1:6" ht="15.6" x14ac:dyDescent="0.3">
      <c r="A2077" s="60">
        <v>44796</v>
      </c>
      <c r="B2077" s="11">
        <v>107</v>
      </c>
      <c r="C2077" s="11"/>
      <c r="D2077" s="14"/>
      <c r="E2077" s="26" t="s">
        <v>64</v>
      </c>
      <c r="F2077" t="s">
        <v>21</v>
      </c>
    </row>
    <row r="2078" spans="1:6" ht="15.6" x14ac:dyDescent="0.3">
      <c r="A2078" s="60">
        <v>44796</v>
      </c>
      <c r="B2078" s="11">
        <v>105</v>
      </c>
      <c r="C2078" s="11"/>
      <c r="D2078" s="14"/>
      <c r="E2078" s="26" t="s">
        <v>64</v>
      </c>
      <c r="F2078" t="s">
        <v>21</v>
      </c>
    </row>
    <row r="2079" spans="1:6" ht="15.6" x14ac:dyDescent="0.3">
      <c r="A2079" s="60">
        <v>44798</v>
      </c>
      <c r="B2079" s="11">
        <v>102</v>
      </c>
      <c r="C2079" s="11"/>
      <c r="D2079" s="14"/>
      <c r="E2079" s="26" t="s">
        <v>64</v>
      </c>
      <c r="F2079" t="s">
        <v>21</v>
      </c>
    </row>
    <row r="2080" spans="1:6" ht="15.6" x14ac:dyDescent="0.3">
      <c r="A2080" s="60">
        <v>44798</v>
      </c>
      <c r="B2080" s="11">
        <v>108</v>
      </c>
      <c r="C2080" s="11"/>
      <c r="D2080" s="14"/>
      <c r="E2080" s="26" t="s">
        <v>64</v>
      </c>
      <c r="F2080" t="s">
        <v>21</v>
      </c>
    </row>
    <row r="2081" spans="1:6" ht="15.6" x14ac:dyDescent="0.3">
      <c r="A2081" s="60">
        <v>44803</v>
      </c>
      <c r="B2081" s="11">
        <v>102</v>
      </c>
      <c r="C2081" s="11"/>
      <c r="D2081" s="14"/>
      <c r="E2081" s="26" t="s">
        <v>64</v>
      </c>
      <c r="F2081" t="s">
        <v>21</v>
      </c>
    </row>
    <row r="2082" spans="1:6" ht="15.6" x14ac:dyDescent="0.3">
      <c r="A2082" s="60">
        <v>44803</v>
      </c>
      <c r="B2082" s="11">
        <v>105</v>
      </c>
      <c r="C2082" s="11"/>
      <c r="D2082" s="14"/>
      <c r="E2082" s="26" t="s">
        <v>64</v>
      </c>
      <c r="F2082" t="s">
        <v>21</v>
      </c>
    </row>
    <row r="2083" spans="1:6" ht="15.6" x14ac:dyDescent="0.3">
      <c r="A2083" s="49">
        <v>44805</v>
      </c>
      <c r="B2083" s="11">
        <v>104</v>
      </c>
      <c r="C2083" s="11"/>
      <c r="D2083" s="14"/>
      <c r="E2083" s="26" t="s">
        <v>64</v>
      </c>
      <c r="F2083" t="s">
        <v>18</v>
      </c>
    </row>
    <row r="2084" spans="1:6" ht="15.6" x14ac:dyDescent="0.3">
      <c r="A2084" s="49">
        <v>44805</v>
      </c>
      <c r="B2084" s="11">
        <v>105</v>
      </c>
      <c r="C2084" s="11"/>
      <c r="D2084" s="14"/>
      <c r="E2084" s="26" t="s">
        <v>64</v>
      </c>
      <c r="F2084" t="s">
        <v>18</v>
      </c>
    </row>
    <row r="2085" spans="1:6" ht="15.6" x14ac:dyDescent="0.3">
      <c r="A2085" s="49">
        <v>44810</v>
      </c>
      <c r="B2085" s="11">
        <v>100</v>
      </c>
      <c r="C2085" s="11"/>
      <c r="D2085" s="14"/>
      <c r="E2085" s="26" t="s">
        <v>64</v>
      </c>
      <c r="F2085" t="s">
        <v>18</v>
      </c>
    </row>
    <row r="2086" spans="1:6" ht="15.6" x14ac:dyDescent="0.3">
      <c r="A2086" s="49">
        <v>44810</v>
      </c>
      <c r="B2086" s="11">
        <v>109</v>
      </c>
      <c r="C2086" s="11"/>
      <c r="D2086" s="14"/>
      <c r="E2086" s="26" t="s">
        <v>64</v>
      </c>
      <c r="F2086" t="s">
        <v>18</v>
      </c>
    </row>
    <row r="2087" spans="1:6" ht="15.6" x14ac:dyDescent="0.3">
      <c r="A2087" s="49">
        <v>44812</v>
      </c>
      <c r="B2087" s="11">
        <v>101</v>
      </c>
      <c r="C2087" s="11"/>
      <c r="D2087" s="14"/>
      <c r="E2087" s="26" t="s">
        <v>64</v>
      </c>
      <c r="F2087" t="s">
        <v>18</v>
      </c>
    </row>
    <row r="2088" spans="1:6" ht="15.6" x14ac:dyDescent="0.3">
      <c r="A2088" s="49">
        <v>44812</v>
      </c>
      <c r="B2088" s="11">
        <v>104</v>
      </c>
      <c r="C2088" s="11"/>
      <c r="D2088" s="14"/>
      <c r="E2088" s="26" t="s">
        <v>64</v>
      </c>
      <c r="F2088" t="s">
        <v>18</v>
      </c>
    </row>
    <row r="2089" spans="1:6" ht="15.6" x14ac:dyDescent="0.3">
      <c r="A2089" s="10"/>
      <c r="C2089" s="14"/>
      <c r="D2089" s="14"/>
    </row>
    <row r="2090" spans="1:6" ht="15.6" x14ac:dyDescent="0.3">
      <c r="A2090" s="10"/>
      <c r="C2090" s="14"/>
      <c r="D2090" s="14"/>
    </row>
    <row r="2091" spans="1:6" ht="15.6" x14ac:dyDescent="0.3">
      <c r="A2091" s="10"/>
      <c r="C2091" s="14"/>
      <c r="D2091" s="14"/>
    </row>
    <row r="2092" spans="1:6" ht="15.6" x14ac:dyDescent="0.3">
      <c r="A2092" s="10"/>
      <c r="C2092" s="14"/>
      <c r="D2092" s="14"/>
    </row>
    <row r="2093" spans="1:6" ht="15.6" x14ac:dyDescent="0.3">
      <c r="A2093" s="10"/>
      <c r="C2093" s="14"/>
      <c r="D2093" s="14"/>
    </row>
    <row r="2094" spans="1:6" ht="15.6" x14ac:dyDescent="0.3">
      <c r="A2094" s="10"/>
      <c r="C2094" s="14"/>
      <c r="D2094" s="14"/>
    </row>
    <row r="2095" spans="1:6" ht="15.6" x14ac:dyDescent="0.3">
      <c r="A2095" s="10"/>
      <c r="C2095" s="14"/>
      <c r="D2095" s="14"/>
    </row>
    <row r="2096" spans="1:6" ht="15.6" x14ac:dyDescent="0.3">
      <c r="A2096" s="10"/>
      <c r="C2096" s="14"/>
      <c r="D2096" s="14"/>
    </row>
    <row r="2097" spans="1:4" ht="15.6" x14ac:dyDescent="0.3">
      <c r="A2097" s="10"/>
      <c r="C2097" s="14"/>
      <c r="D2097" s="14"/>
    </row>
    <row r="2098" spans="1:4" ht="15.6" x14ac:dyDescent="0.3">
      <c r="A2098" s="10"/>
      <c r="C2098" s="14"/>
      <c r="D2098" s="14"/>
    </row>
    <row r="2099" spans="1:4" ht="15.6" x14ac:dyDescent="0.3">
      <c r="A2099" s="10"/>
      <c r="C2099" s="14"/>
      <c r="D2099" s="14"/>
    </row>
    <row r="2100" spans="1:4" ht="15.6" x14ac:dyDescent="0.3">
      <c r="A2100" s="10"/>
      <c r="C2100" s="14"/>
      <c r="D2100" s="14"/>
    </row>
    <row r="2101" spans="1:4" ht="15.6" x14ac:dyDescent="0.3">
      <c r="A2101" s="10"/>
      <c r="C2101" s="14"/>
      <c r="D2101" s="14"/>
    </row>
    <row r="2102" spans="1:4" ht="15.6" x14ac:dyDescent="0.3">
      <c r="A2102" s="10"/>
      <c r="C2102" s="14"/>
      <c r="D2102" s="14"/>
    </row>
    <row r="2103" spans="1:4" ht="15.6" x14ac:dyDescent="0.3">
      <c r="A2103" s="10"/>
      <c r="C2103" s="14"/>
      <c r="D2103" s="14"/>
    </row>
    <row r="2104" spans="1:4" ht="15.6" x14ac:dyDescent="0.3">
      <c r="A2104" s="10"/>
      <c r="C2104" s="14"/>
      <c r="D2104" s="14"/>
    </row>
    <row r="2105" spans="1:4" ht="15.6" x14ac:dyDescent="0.3">
      <c r="A2105" s="10"/>
      <c r="C2105" s="14"/>
      <c r="D2105" s="14"/>
    </row>
    <row r="2106" spans="1:4" ht="15.6" x14ac:dyDescent="0.3">
      <c r="A2106" s="10"/>
      <c r="C2106" s="14"/>
      <c r="D2106" s="14"/>
    </row>
    <row r="2107" spans="1:4" ht="15.6" x14ac:dyDescent="0.3">
      <c r="A2107" s="10"/>
      <c r="C2107" s="14"/>
      <c r="D2107" s="14"/>
    </row>
    <row r="2108" spans="1:4" ht="15.6" x14ac:dyDescent="0.3">
      <c r="A2108" s="10"/>
      <c r="C2108" s="14"/>
      <c r="D2108" s="14"/>
    </row>
    <row r="2109" spans="1:4" ht="15.6" x14ac:dyDescent="0.3">
      <c r="A2109" s="10"/>
      <c r="C2109" s="14"/>
      <c r="D2109" s="14"/>
    </row>
    <row r="2110" spans="1:4" ht="15.6" x14ac:dyDescent="0.3">
      <c r="A2110" s="10"/>
      <c r="C2110" s="14"/>
      <c r="D2110" s="14"/>
    </row>
    <row r="2111" spans="1:4" ht="15.6" x14ac:dyDescent="0.3">
      <c r="A2111" s="10"/>
      <c r="C2111" s="14"/>
      <c r="D2111" s="14"/>
    </row>
    <row r="2112" spans="1:4" ht="15.6" x14ac:dyDescent="0.3">
      <c r="A2112" s="10"/>
      <c r="C2112" s="14"/>
      <c r="D2112" s="14"/>
    </row>
    <row r="2113" spans="1:4" ht="15.6" x14ac:dyDescent="0.3">
      <c r="A2113" s="10"/>
      <c r="C2113" s="14"/>
      <c r="D2113" s="14"/>
    </row>
    <row r="2114" spans="1:4" ht="15.6" x14ac:dyDescent="0.3">
      <c r="A2114" s="10"/>
      <c r="C2114" s="14"/>
      <c r="D2114" s="14"/>
    </row>
    <row r="2115" spans="1:4" ht="15.6" x14ac:dyDescent="0.3">
      <c r="A2115" s="10"/>
      <c r="C2115" s="14"/>
      <c r="D2115" s="14"/>
    </row>
    <row r="2116" spans="1:4" ht="15.6" x14ac:dyDescent="0.3">
      <c r="A2116" s="10"/>
      <c r="C2116" s="14"/>
      <c r="D2116" s="14"/>
    </row>
    <row r="2117" spans="1:4" ht="15.6" x14ac:dyDescent="0.3">
      <c r="A2117" s="10"/>
      <c r="C2117" s="14"/>
      <c r="D2117" s="14"/>
    </row>
    <row r="2118" spans="1:4" ht="15.6" x14ac:dyDescent="0.3">
      <c r="A2118" s="10"/>
      <c r="C2118" s="14"/>
      <c r="D2118" s="14"/>
    </row>
    <row r="2119" spans="1:4" ht="15.6" x14ac:dyDescent="0.3">
      <c r="A2119" s="10"/>
      <c r="C2119" s="14"/>
      <c r="D2119" s="14"/>
    </row>
    <row r="2120" spans="1:4" ht="15.6" x14ac:dyDescent="0.3">
      <c r="A2120" s="10"/>
      <c r="C2120" s="14"/>
      <c r="D2120" s="14"/>
    </row>
    <row r="2121" spans="1:4" ht="15.6" x14ac:dyDescent="0.3">
      <c r="A2121" s="10"/>
      <c r="C2121" s="14"/>
      <c r="D2121" s="14"/>
    </row>
    <row r="2122" spans="1:4" ht="15.6" x14ac:dyDescent="0.3">
      <c r="A2122" s="10"/>
      <c r="C2122" s="14"/>
      <c r="D2122" s="14"/>
    </row>
    <row r="2123" spans="1:4" ht="15.6" x14ac:dyDescent="0.3">
      <c r="A2123" s="10"/>
      <c r="C2123" s="14"/>
      <c r="D2123" s="14"/>
    </row>
    <row r="2124" spans="1:4" ht="15.6" x14ac:dyDescent="0.3">
      <c r="A2124" s="10"/>
      <c r="C2124" s="14"/>
      <c r="D2124" s="14"/>
    </row>
    <row r="2125" spans="1:4" ht="15.6" x14ac:dyDescent="0.3">
      <c r="A2125" s="10"/>
      <c r="C2125" s="14"/>
      <c r="D2125" s="14"/>
    </row>
    <row r="2126" spans="1:4" ht="15.6" x14ac:dyDescent="0.3">
      <c r="A2126" s="10"/>
      <c r="C2126" s="14"/>
      <c r="D2126" s="14"/>
    </row>
    <row r="2127" spans="1:4" ht="15.6" x14ac:dyDescent="0.3">
      <c r="A2127" s="10"/>
      <c r="C2127" s="14"/>
      <c r="D2127" s="14"/>
    </row>
    <row r="2128" spans="1:4" ht="15.6" x14ac:dyDescent="0.3">
      <c r="A2128" s="10"/>
      <c r="C2128" s="14"/>
      <c r="D2128" s="14"/>
    </row>
    <row r="2129" spans="1:4" ht="15.6" x14ac:dyDescent="0.3">
      <c r="A2129" s="10"/>
      <c r="C2129" s="14"/>
      <c r="D2129" s="14"/>
    </row>
    <row r="2130" spans="1:4" ht="15.6" x14ac:dyDescent="0.3">
      <c r="A2130" s="10"/>
      <c r="C2130" s="14"/>
      <c r="D2130" s="14"/>
    </row>
    <row r="2131" spans="1:4" ht="15.6" x14ac:dyDescent="0.3">
      <c r="A2131" s="10"/>
      <c r="C2131" s="14"/>
      <c r="D2131" s="14"/>
    </row>
    <row r="2132" spans="1:4" ht="15.6" x14ac:dyDescent="0.3">
      <c r="A2132" s="10"/>
      <c r="C2132" s="14"/>
      <c r="D2132" s="14"/>
    </row>
    <row r="2133" spans="1:4" ht="15.6" x14ac:dyDescent="0.3">
      <c r="A2133" s="10"/>
      <c r="C2133" s="14"/>
      <c r="D2133" s="14"/>
    </row>
    <row r="2134" spans="1:4" ht="15.6" x14ac:dyDescent="0.3">
      <c r="A2134" s="10"/>
      <c r="C2134" s="14"/>
      <c r="D2134" s="14"/>
    </row>
    <row r="2135" spans="1:4" ht="15.6" x14ac:dyDescent="0.3">
      <c r="A2135" s="10"/>
      <c r="C2135" s="14"/>
      <c r="D2135" s="14"/>
    </row>
    <row r="2136" spans="1:4" ht="15.6" x14ac:dyDescent="0.3">
      <c r="A2136" s="10"/>
      <c r="C2136" s="14"/>
      <c r="D2136" s="14"/>
    </row>
    <row r="2137" spans="1:4" ht="15.6" x14ac:dyDescent="0.3">
      <c r="A2137" s="10"/>
      <c r="C2137" s="14"/>
      <c r="D2137" s="14"/>
    </row>
    <row r="2138" spans="1:4" ht="15.6" x14ac:dyDescent="0.3">
      <c r="A2138" s="10"/>
      <c r="C2138" s="14"/>
      <c r="D2138" s="14"/>
    </row>
    <row r="2139" spans="1:4" ht="15.6" x14ac:dyDescent="0.3">
      <c r="A2139" s="10"/>
      <c r="C2139" s="14"/>
      <c r="D2139" s="14"/>
    </row>
    <row r="2140" spans="1:4" ht="15.6" x14ac:dyDescent="0.3">
      <c r="A2140" s="10"/>
      <c r="C2140" s="14"/>
      <c r="D2140" s="14"/>
    </row>
    <row r="2141" spans="1:4" ht="15.6" x14ac:dyDescent="0.3">
      <c r="A2141" s="10"/>
      <c r="C2141" s="14"/>
      <c r="D2141" s="14"/>
    </row>
    <row r="2142" spans="1:4" ht="15.6" x14ac:dyDescent="0.3">
      <c r="A2142" s="10"/>
      <c r="C2142" s="14"/>
      <c r="D2142" s="14"/>
    </row>
    <row r="2143" spans="1:4" ht="15.6" x14ac:dyDescent="0.3">
      <c r="A2143" s="10"/>
      <c r="C2143" s="14"/>
      <c r="D2143" s="14"/>
    </row>
    <row r="2144" spans="1:4" ht="15.6" x14ac:dyDescent="0.3">
      <c r="A2144" s="10"/>
      <c r="C2144" s="14"/>
      <c r="D2144" s="14"/>
    </row>
    <row r="2145" spans="1:4" ht="15.6" x14ac:dyDescent="0.3">
      <c r="A2145" s="10"/>
      <c r="C2145" s="14"/>
      <c r="D2145" s="14"/>
    </row>
    <row r="2146" spans="1:4" ht="15.6" x14ac:dyDescent="0.3">
      <c r="A2146" s="10"/>
      <c r="C2146" s="14"/>
      <c r="D2146" s="14"/>
    </row>
    <row r="2147" spans="1:4" ht="15.6" x14ac:dyDescent="0.3">
      <c r="A2147" s="10"/>
      <c r="C2147" s="14"/>
      <c r="D2147" s="14"/>
    </row>
    <row r="2148" spans="1:4" ht="15.6" x14ac:dyDescent="0.3">
      <c r="A2148" s="10"/>
      <c r="C2148" s="14"/>
      <c r="D2148" s="14"/>
    </row>
    <row r="2149" spans="1:4" ht="15.6" x14ac:dyDescent="0.3">
      <c r="A2149" s="10"/>
      <c r="C2149" s="14"/>
      <c r="D2149" s="14"/>
    </row>
    <row r="2150" spans="1:4" ht="15.6" x14ac:dyDescent="0.3">
      <c r="A2150" s="10"/>
      <c r="C2150" s="14"/>
      <c r="D2150" s="14"/>
    </row>
    <row r="2151" spans="1:4" ht="15.6" x14ac:dyDescent="0.3">
      <c r="A2151" s="10"/>
      <c r="C2151" s="14"/>
      <c r="D2151" s="14"/>
    </row>
    <row r="2152" spans="1:4" ht="15.6" x14ac:dyDescent="0.3">
      <c r="A2152" s="10"/>
      <c r="C2152" s="14"/>
      <c r="D2152" s="14"/>
    </row>
    <row r="2153" spans="1:4" ht="15.6" x14ac:dyDescent="0.3">
      <c r="A2153" s="10"/>
      <c r="C2153" s="14"/>
      <c r="D2153" s="14"/>
    </row>
    <row r="2154" spans="1:4" ht="15.6" x14ac:dyDescent="0.3">
      <c r="A2154" s="10"/>
      <c r="C2154" s="14"/>
      <c r="D2154" s="14"/>
    </row>
    <row r="2155" spans="1:4" ht="15.6" x14ac:dyDescent="0.3">
      <c r="A2155" s="10"/>
      <c r="C2155" s="14"/>
      <c r="D2155" s="14"/>
    </row>
    <row r="2156" spans="1:4" ht="15.6" x14ac:dyDescent="0.3">
      <c r="A2156" s="10"/>
      <c r="C2156" s="14"/>
      <c r="D2156" s="14"/>
    </row>
    <row r="2157" spans="1:4" ht="15.6" x14ac:dyDescent="0.3">
      <c r="A2157" s="10"/>
      <c r="C2157" s="14"/>
      <c r="D2157" s="14"/>
    </row>
    <row r="2158" spans="1:4" ht="15.6" x14ac:dyDescent="0.3">
      <c r="A2158" s="10"/>
      <c r="C2158" s="14"/>
      <c r="D2158" s="14"/>
    </row>
    <row r="2159" spans="1:4" ht="15.6" x14ac:dyDescent="0.3">
      <c r="A2159" s="10"/>
      <c r="C2159" s="14"/>
      <c r="D2159" s="14"/>
    </row>
    <row r="2160" spans="1:4" ht="15.6" x14ac:dyDescent="0.3">
      <c r="A2160" s="10"/>
      <c r="C2160" s="14"/>
      <c r="D2160" s="14"/>
    </row>
    <row r="2161" spans="1:4" ht="15.6" x14ac:dyDescent="0.3">
      <c r="A2161" s="10"/>
      <c r="C2161" s="14"/>
      <c r="D2161" s="14"/>
    </row>
    <row r="2162" spans="1:4" ht="15.6" x14ac:dyDescent="0.3">
      <c r="A2162" s="10"/>
      <c r="C2162" s="14"/>
      <c r="D2162" s="14"/>
    </row>
    <row r="2163" spans="1:4" ht="15.6" x14ac:dyDescent="0.3">
      <c r="A2163" s="10"/>
      <c r="C2163" s="14"/>
      <c r="D2163" s="14"/>
    </row>
    <row r="2164" spans="1:4" ht="15.6" x14ac:dyDescent="0.3">
      <c r="A2164" s="10"/>
      <c r="C2164" s="14"/>
      <c r="D2164" s="14"/>
    </row>
    <row r="2165" spans="1:4" ht="15.6" x14ac:dyDescent="0.3">
      <c r="A2165" s="10"/>
      <c r="C2165" s="14"/>
      <c r="D2165" s="14"/>
    </row>
    <row r="2166" spans="1:4" ht="15.6" x14ac:dyDescent="0.3">
      <c r="A2166" s="10"/>
      <c r="C2166" s="14"/>
      <c r="D2166" s="14"/>
    </row>
    <row r="2167" spans="1:4" ht="15.6" x14ac:dyDescent="0.3">
      <c r="A2167" s="10"/>
      <c r="C2167" s="14"/>
      <c r="D2167" s="14"/>
    </row>
    <row r="2168" spans="1:4" ht="15.6" x14ac:dyDescent="0.3">
      <c r="A2168" s="10"/>
      <c r="C2168" s="14"/>
      <c r="D2168" s="14"/>
    </row>
    <row r="2169" spans="1:4" ht="15.6" x14ac:dyDescent="0.3">
      <c r="A2169" s="10"/>
      <c r="C2169" s="14"/>
      <c r="D2169" s="14"/>
    </row>
    <row r="2170" spans="1:4" ht="15.6" x14ac:dyDescent="0.3">
      <c r="A2170" s="10"/>
      <c r="C2170" s="14"/>
      <c r="D2170" s="14"/>
    </row>
    <row r="2171" spans="1:4" ht="15.6" x14ac:dyDescent="0.3">
      <c r="A2171" s="10"/>
      <c r="C2171" s="14"/>
      <c r="D2171" s="14"/>
    </row>
    <row r="2172" spans="1:4" ht="15.6" x14ac:dyDescent="0.3">
      <c r="A2172" s="10"/>
      <c r="C2172" s="14"/>
      <c r="D2172" s="14"/>
    </row>
    <row r="2173" spans="1:4" ht="15.6" x14ac:dyDescent="0.3">
      <c r="A2173" s="10"/>
      <c r="C2173" s="14"/>
      <c r="D2173" s="14"/>
    </row>
    <row r="2174" spans="1:4" ht="15.6" x14ac:dyDescent="0.3">
      <c r="A2174" s="10"/>
      <c r="C2174" s="14"/>
      <c r="D2174" s="14"/>
    </row>
    <row r="2175" spans="1:4" ht="15.6" x14ac:dyDescent="0.3">
      <c r="A2175" s="10"/>
      <c r="C2175" s="14"/>
      <c r="D2175" s="14"/>
    </row>
    <row r="2176" spans="1:4" ht="15.6" x14ac:dyDescent="0.3">
      <c r="A2176" s="10"/>
      <c r="C2176" s="14"/>
      <c r="D2176" s="14"/>
    </row>
    <row r="2177" spans="1:4" ht="15.6" x14ac:dyDescent="0.3">
      <c r="A2177" s="10"/>
      <c r="C2177" s="14"/>
      <c r="D2177" s="14"/>
    </row>
    <row r="2178" spans="1:4" ht="15.6" x14ac:dyDescent="0.3">
      <c r="A2178" s="10"/>
      <c r="C2178" s="14"/>
      <c r="D2178" s="14"/>
    </row>
    <row r="2179" spans="1:4" ht="15.6" x14ac:dyDescent="0.3">
      <c r="A2179" s="10"/>
      <c r="C2179" s="14"/>
      <c r="D2179" s="14"/>
    </row>
    <row r="2180" spans="1:4" ht="15.6" x14ac:dyDescent="0.3">
      <c r="A2180" s="10"/>
      <c r="C2180" s="14"/>
      <c r="D2180" s="14"/>
    </row>
    <row r="2181" spans="1:4" ht="15.6" x14ac:dyDescent="0.3">
      <c r="A2181" s="10"/>
      <c r="C2181" s="14"/>
      <c r="D2181" s="14"/>
    </row>
    <row r="2182" spans="1:4" ht="15.6" x14ac:dyDescent="0.3">
      <c r="A2182" s="10"/>
      <c r="C2182" s="14"/>
      <c r="D2182" s="14"/>
    </row>
    <row r="2183" spans="1:4" ht="15.6" x14ac:dyDescent="0.3">
      <c r="A2183" s="10"/>
      <c r="C2183" s="14"/>
      <c r="D2183" s="14"/>
    </row>
    <row r="2184" spans="1:4" ht="15.6" x14ac:dyDescent="0.3">
      <c r="A2184" s="10"/>
      <c r="C2184" s="14"/>
      <c r="D2184" s="14"/>
    </row>
    <row r="2185" spans="1:4" ht="15.6" x14ac:dyDescent="0.3">
      <c r="A2185" s="10"/>
      <c r="C2185" s="14"/>
      <c r="D2185" s="14"/>
    </row>
    <row r="2186" spans="1:4" ht="15.6" x14ac:dyDescent="0.3">
      <c r="A2186" s="10"/>
      <c r="C2186" s="14"/>
      <c r="D2186" s="14"/>
    </row>
    <row r="2187" spans="1:4" ht="15.6" x14ac:dyDescent="0.3">
      <c r="A2187" s="10"/>
      <c r="C2187" s="14"/>
      <c r="D2187" s="14"/>
    </row>
    <row r="2188" spans="1:4" ht="15.6" x14ac:dyDescent="0.3">
      <c r="A2188" s="10"/>
      <c r="C2188" s="14"/>
      <c r="D2188" s="14"/>
    </row>
    <row r="2189" spans="1:4" ht="15.6" x14ac:dyDescent="0.3">
      <c r="A2189" s="10"/>
      <c r="C2189" s="14"/>
      <c r="D2189" s="14"/>
    </row>
    <row r="2190" spans="1:4" ht="15.6" x14ac:dyDescent="0.3">
      <c r="A2190" s="10"/>
      <c r="C2190" s="14"/>
      <c r="D2190" s="14"/>
    </row>
    <row r="2191" spans="1:4" ht="15.6" x14ac:dyDescent="0.3">
      <c r="A2191" s="10"/>
      <c r="C2191" s="14"/>
      <c r="D2191" s="14"/>
    </row>
    <row r="2192" spans="1:4" ht="15.6" x14ac:dyDescent="0.3">
      <c r="A2192" s="10"/>
      <c r="C2192" s="14"/>
      <c r="D2192" s="14"/>
    </row>
    <row r="2193" spans="1:4" ht="15.6" x14ac:dyDescent="0.3">
      <c r="A2193" s="10"/>
      <c r="C2193" s="14"/>
      <c r="D2193" s="14"/>
    </row>
    <row r="2194" spans="1:4" ht="15.6" x14ac:dyDescent="0.3">
      <c r="A2194" s="10"/>
      <c r="C2194" s="14"/>
      <c r="D2194" s="14"/>
    </row>
    <row r="2195" spans="1:4" ht="15.6" x14ac:dyDescent="0.3">
      <c r="A2195" s="10"/>
      <c r="C2195" s="14"/>
      <c r="D2195" s="14"/>
    </row>
    <row r="2196" spans="1:4" ht="15.6" x14ac:dyDescent="0.3">
      <c r="A2196" s="10"/>
      <c r="C2196" s="14"/>
      <c r="D2196" s="14"/>
    </row>
    <row r="2197" spans="1:4" ht="15.6" x14ac:dyDescent="0.3">
      <c r="A2197" s="10"/>
      <c r="C2197" s="14"/>
      <c r="D2197" s="14"/>
    </row>
    <row r="2198" spans="1:4" ht="15.6" x14ac:dyDescent="0.3">
      <c r="A2198" s="10"/>
      <c r="C2198" s="14"/>
      <c r="D2198" s="14"/>
    </row>
    <row r="2199" spans="1:4" ht="15.6" x14ac:dyDescent="0.3">
      <c r="A2199" s="10"/>
      <c r="C2199" s="14"/>
      <c r="D2199" s="14"/>
    </row>
    <row r="2200" spans="1:4" ht="15.6" x14ac:dyDescent="0.3">
      <c r="A2200" s="10"/>
      <c r="C2200" s="14"/>
      <c r="D2200" s="14"/>
    </row>
    <row r="2201" spans="1:4" ht="15.6" x14ac:dyDescent="0.3">
      <c r="A2201" s="10"/>
      <c r="C2201" s="14"/>
      <c r="D2201" s="14"/>
    </row>
    <row r="2202" spans="1:4" ht="15.6" x14ac:dyDescent="0.3">
      <c r="A2202" s="10"/>
      <c r="C2202" s="14"/>
      <c r="D2202" s="14"/>
    </row>
    <row r="2203" spans="1:4" ht="15.6" x14ac:dyDescent="0.3">
      <c r="A2203" s="10"/>
      <c r="C2203" s="14"/>
      <c r="D2203" s="14"/>
    </row>
    <row r="2204" spans="1:4" ht="15.6" x14ac:dyDescent="0.3">
      <c r="A2204" s="10"/>
      <c r="C2204" s="14"/>
      <c r="D2204" s="14"/>
    </row>
    <row r="2205" spans="1:4" ht="15.6" x14ac:dyDescent="0.3">
      <c r="A2205" s="10"/>
      <c r="C2205" s="14"/>
      <c r="D2205" s="14"/>
    </row>
    <row r="2206" spans="1:4" ht="15.6" x14ac:dyDescent="0.3">
      <c r="A2206" s="10"/>
      <c r="C2206" s="14"/>
      <c r="D2206" s="14"/>
    </row>
    <row r="2207" spans="1:4" ht="15.6" x14ac:dyDescent="0.3">
      <c r="A2207" s="10"/>
      <c r="C2207" s="14"/>
      <c r="D2207" s="14"/>
    </row>
    <row r="2208" spans="1:4" ht="15.6" x14ac:dyDescent="0.3">
      <c r="A2208" s="10"/>
      <c r="C2208" s="14"/>
      <c r="D2208" s="14"/>
    </row>
    <row r="2209" spans="1:4" ht="15.6" x14ac:dyDescent="0.3">
      <c r="A2209" s="10"/>
      <c r="C2209" s="14"/>
      <c r="D2209" s="14"/>
    </row>
    <row r="2210" spans="1:4" ht="15.6" x14ac:dyDescent="0.3">
      <c r="A2210" s="10"/>
      <c r="C2210" s="14"/>
      <c r="D2210" s="14"/>
    </row>
    <row r="2211" spans="1:4" ht="15.6" x14ac:dyDescent="0.3">
      <c r="A2211" s="10"/>
      <c r="C2211" s="14"/>
      <c r="D2211" s="14"/>
    </row>
    <row r="2212" spans="1:4" ht="15.6" x14ac:dyDescent="0.3">
      <c r="A2212" s="10"/>
      <c r="C2212" s="14"/>
      <c r="D2212" s="14"/>
    </row>
    <row r="2213" spans="1:4" ht="15.6" x14ac:dyDescent="0.3">
      <c r="A2213" s="10"/>
      <c r="C2213" s="14"/>
      <c r="D2213" s="14"/>
    </row>
    <row r="2214" spans="1:4" ht="15.6" x14ac:dyDescent="0.3">
      <c r="A2214" s="10"/>
      <c r="C2214" s="14"/>
      <c r="D2214" s="14"/>
    </row>
    <row r="2215" spans="1:4" ht="15.6" x14ac:dyDescent="0.3">
      <c r="A2215" s="10"/>
      <c r="C2215" s="14"/>
      <c r="D2215" s="14"/>
    </row>
    <row r="2216" spans="1:4" ht="15.6" x14ac:dyDescent="0.3">
      <c r="A2216" s="10"/>
      <c r="C2216" s="14"/>
      <c r="D2216" s="14"/>
    </row>
    <row r="2217" spans="1:4" ht="15.6" x14ac:dyDescent="0.3">
      <c r="A2217" s="10"/>
      <c r="C2217" s="14"/>
      <c r="D2217" s="14"/>
    </row>
    <row r="2218" spans="1:4" ht="15.6" x14ac:dyDescent="0.3">
      <c r="A2218" s="10"/>
      <c r="C2218" s="14"/>
      <c r="D2218" s="14"/>
    </row>
    <row r="2219" spans="1:4" ht="15.6" x14ac:dyDescent="0.3">
      <c r="A2219" s="10"/>
      <c r="C2219" s="14"/>
      <c r="D2219" s="14"/>
    </row>
    <row r="2220" spans="1:4" ht="15.6" x14ac:dyDescent="0.3">
      <c r="A2220" s="10"/>
      <c r="C2220" s="14"/>
      <c r="D2220" s="14"/>
    </row>
    <row r="2221" spans="1:4" ht="15.6" x14ac:dyDescent="0.3">
      <c r="A2221" s="10"/>
      <c r="C2221" s="14"/>
      <c r="D2221" s="14"/>
    </row>
    <row r="2222" spans="1:4" ht="15.6" x14ac:dyDescent="0.3">
      <c r="A2222" s="10"/>
      <c r="C2222" s="14"/>
      <c r="D2222" s="14"/>
    </row>
    <row r="2223" spans="1:4" ht="15.6" x14ac:dyDescent="0.3">
      <c r="A2223" s="10"/>
      <c r="C2223" s="14"/>
      <c r="D2223" s="14"/>
    </row>
    <row r="2224" spans="1:4" ht="15.6" x14ac:dyDescent="0.3">
      <c r="A2224" s="10"/>
      <c r="C2224" s="14"/>
      <c r="D2224" s="14"/>
    </row>
    <row r="2225" spans="1:4" ht="15.6" x14ac:dyDescent="0.3">
      <c r="A2225" s="10"/>
      <c r="C2225" s="14"/>
      <c r="D2225" s="14"/>
    </row>
    <row r="2226" spans="1:4" ht="15.6" x14ac:dyDescent="0.3">
      <c r="A2226" s="10"/>
      <c r="C2226" s="14"/>
      <c r="D2226" s="14"/>
    </row>
    <row r="2227" spans="1:4" ht="15.6" x14ac:dyDescent="0.3">
      <c r="A2227" s="10"/>
      <c r="C2227" s="14"/>
      <c r="D2227" s="14"/>
    </row>
    <row r="2228" spans="1:4" ht="15.6" x14ac:dyDescent="0.3">
      <c r="A2228" s="10"/>
      <c r="C2228" s="14"/>
      <c r="D2228" s="14"/>
    </row>
    <row r="2229" spans="1:4" ht="15.6" x14ac:dyDescent="0.3">
      <c r="A2229" s="10"/>
      <c r="C2229" s="14"/>
      <c r="D2229" s="14"/>
    </row>
    <row r="2230" spans="1:4" ht="15.6" x14ac:dyDescent="0.3">
      <c r="A2230" s="10"/>
      <c r="C2230" s="14"/>
      <c r="D2230" s="14"/>
    </row>
    <row r="2231" spans="1:4" ht="15.6" x14ac:dyDescent="0.3">
      <c r="A2231" s="10"/>
      <c r="C2231" s="14"/>
      <c r="D2231" s="14"/>
    </row>
    <row r="2232" spans="1:4" ht="15.6" x14ac:dyDescent="0.3">
      <c r="A2232" s="10"/>
      <c r="C2232" s="14"/>
      <c r="D2232" s="14"/>
    </row>
    <row r="2233" spans="1:4" ht="15.6" x14ac:dyDescent="0.3">
      <c r="A2233" s="10"/>
      <c r="C2233" s="14"/>
      <c r="D2233" s="14"/>
    </row>
    <row r="2234" spans="1:4" ht="15.6" x14ac:dyDescent="0.3">
      <c r="A2234" s="10"/>
      <c r="C2234" s="14"/>
      <c r="D2234" s="14"/>
    </row>
    <row r="2235" spans="1:4" ht="15.6" x14ac:dyDescent="0.3">
      <c r="A2235" s="10"/>
      <c r="C2235" s="14"/>
      <c r="D2235" s="14"/>
    </row>
    <row r="2236" spans="1:4" ht="15.6" x14ac:dyDescent="0.3">
      <c r="A2236" s="10"/>
      <c r="C2236" s="14"/>
      <c r="D2236" s="14"/>
    </row>
    <row r="2237" spans="1:4" ht="15.6" x14ac:dyDescent="0.3">
      <c r="A2237" s="10"/>
      <c r="C2237" s="14"/>
      <c r="D2237" s="14"/>
    </row>
    <row r="2238" spans="1:4" ht="15.6" x14ac:dyDescent="0.3">
      <c r="A2238" s="10"/>
      <c r="C2238" s="14"/>
      <c r="D2238" s="14"/>
    </row>
    <row r="2239" spans="1:4" ht="15.6" x14ac:dyDescent="0.3">
      <c r="A2239" s="10"/>
      <c r="C2239" s="14"/>
      <c r="D2239" s="14"/>
    </row>
    <row r="2240" spans="1:4" ht="15.6" x14ac:dyDescent="0.3">
      <c r="A2240" s="10"/>
      <c r="C2240" s="14"/>
      <c r="D2240" s="14"/>
    </row>
    <row r="2241" spans="1:4" ht="15.6" x14ac:dyDescent="0.3">
      <c r="A2241" s="10"/>
      <c r="C2241" s="14"/>
      <c r="D2241" s="14"/>
    </row>
    <row r="2242" spans="1:4" ht="15.6" x14ac:dyDescent="0.3">
      <c r="A2242" s="10"/>
      <c r="C2242" s="14"/>
      <c r="D2242" s="14"/>
    </row>
    <row r="2243" spans="1:4" ht="15.6" x14ac:dyDescent="0.3">
      <c r="A2243" s="10"/>
      <c r="C2243" s="14"/>
      <c r="D2243" s="14"/>
    </row>
    <row r="2244" spans="1:4" ht="15.6" x14ac:dyDescent="0.3">
      <c r="A2244" s="10"/>
      <c r="C2244" s="14"/>
      <c r="D2244" s="14"/>
    </row>
    <row r="2245" spans="1:4" ht="15.6" x14ac:dyDescent="0.3">
      <c r="A2245" s="10"/>
      <c r="C2245" s="14"/>
      <c r="D2245" s="14"/>
    </row>
    <row r="2246" spans="1:4" ht="15.6" x14ac:dyDescent="0.3">
      <c r="A2246" s="10"/>
      <c r="C2246" s="14"/>
      <c r="D2246" s="14"/>
    </row>
    <row r="2247" spans="1:4" ht="15.6" x14ac:dyDescent="0.3">
      <c r="A2247" s="10"/>
      <c r="C2247" s="14"/>
      <c r="D2247" s="14"/>
    </row>
    <row r="2248" spans="1:4" ht="15.6" x14ac:dyDescent="0.3">
      <c r="A2248" s="10"/>
      <c r="C2248" s="14"/>
      <c r="D2248" s="14"/>
    </row>
    <row r="2249" spans="1:4" ht="15.6" x14ac:dyDescent="0.3">
      <c r="A2249" s="10"/>
      <c r="C2249" s="14"/>
      <c r="D2249" s="14"/>
    </row>
    <row r="2250" spans="1:4" ht="15.6" x14ac:dyDescent="0.3">
      <c r="A2250" s="10"/>
      <c r="C2250" s="14"/>
      <c r="D2250" s="14"/>
    </row>
    <row r="2251" spans="1:4" ht="15.6" x14ac:dyDescent="0.3">
      <c r="A2251" s="10"/>
      <c r="C2251" s="14"/>
      <c r="D2251" s="14"/>
    </row>
    <row r="2252" spans="1:4" ht="15.6" x14ac:dyDescent="0.3">
      <c r="A2252" s="10"/>
      <c r="C2252" s="14"/>
      <c r="D2252" s="14"/>
    </row>
    <row r="2253" spans="1:4" ht="15.6" x14ac:dyDescent="0.3">
      <c r="A2253" s="10"/>
      <c r="C2253" s="14"/>
      <c r="D2253" s="14"/>
    </row>
    <row r="2254" spans="1:4" ht="15.6" x14ac:dyDescent="0.3">
      <c r="A2254" s="10"/>
      <c r="C2254" s="14"/>
      <c r="D2254" s="14"/>
    </row>
    <row r="2255" spans="1:4" ht="15.6" x14ac:dyDescent="0.3">
      <c r="A2255" s="10"/>
      <c r="C2255" s="14"/>
      <c r="D2255" s="14"/>
    </row>
    <row r="2256" spans="1:4" ht="15.6" x14ac:dyDescent="0.3">
      <c r="A2256" s="10"/>
      <c r="C2256" s="14"/>
      <c r="D2256" s="14"/>
    </row>
    <row r="2257" spans="1:4" ht="15.6" x14ac:dyDescent="0.3">
      <c r="A2257" s="10"/>
      <c r="C2257" s="14"/>
      <c r="D2257" s="14"/>
    </row>
    <row r="2258" spans="1:4" ht="15.6" x14ac:dyDescent="0.3">
      <c r="A2258" s="10"/>
      <c r="C2258" s="14"/>
      <c r="D2258" s="14"/>
    </row>
    <row r="2259" spans="1:4" ht="15.6" x14ac:dyDescent="0.3">
      <c r="A2259" s="10"/>
      <c r="C2259" s="14"/>
      <c r="D2259" s="14"/>
    </row>
    <row r="2260" spans="1:4" ht="15.6" x14ac:dyDescent="0.3">
      <c r="A2260" s="10"/>
      <c r="C2260" s="14"/>
      <c r="D2260" s="14"/>
    </row>
    <row r="2261" spans="1:4" ht="15.6" x14ac:dyDescent="0.3">
      <c r="A2261" s="10"/>
      <c r="C2261" s="14"/>
      <c r="D2261" s="14"/>
    </row>
    <row r="2262" spans="1:4" ht="15.6" x14ac:dyDescent="0.3">
      <c r="A2262" s="10"/>
      <c r="C2262" s="14"/>
      <c r="D2262" s="14"/>
    </row>
    <row r="2263" spans="1:4" ht="15.6" x14ac:dyDescent="0.3">
      <c r="A2263" s="10"/>
      <c r="C2263" s="14"/>
      <c r="D2263" s="14"/>
    </row>
    <row r="2264" spans="1:4" ht="15.6" x14ac:dyDescent="0.3">
      <c r="A2264" s="10"/>
      <c r="C2264" s="14"/>
      <c r="D2264" s="14"/>
    </row>
    <row r="2265" spans="1:4" ht="15.6" x14ac:dyDescent="0.3">
      <c r="A2265" s="10"/>
      <c r="C2265" s="14"/>
      <c r="D2265" s="14"/>
    </row>
    <row r="2266" spans="1:4" ht="15.6" x14ac:dyDescent="0.3">
      <c r="A2266" s="10"/>
      <c r="C2266" s="14"/>
      <c r="D2266" s="14"/>
    </row>
    <row r="2267" spans="1:4" ht="15.6" x14ac:dyDescent="0.3">
      <c r="A2267" s="10"/>
      <c r="C2267" s="14"/>
      <c r="D2267" s="14"/>
    </row>
    <row r="2268" spans="1:4" ht="15.6" x14ac:dyDescent="0.3">
      <c r="A2268" s="10"/>
      <c r="C2268" s="14"/>
      <c r="D2268" s="14"/>
    </row>
    <row r="2269" spans="1:4" ht="15.6" x14ac:dyDescent="0.3">
      <c r="A2269" s="10"/>
      <c r="C2269" s="14"/>
      <c r="D2269" s="14"/>
    </row>
    <row r="2270" spans="1:4" ht="15.6" x14ac:dyDescent="0.3">
      <c r="A2270" s="10"/>
      <c r="C2270" s="14"/>
      <c r="D2270" s="14"/>
    </row>
    <row r="2271" spans="1:4" ht="15.6" x14ac:dyDescent="0.3">
      <c r="A2271" s="10"/>
      <c r="C2271" s="14"/>
      <c r="D2271" s="14"/>
    </row>
    <row r="2272" spans="1:4" ht="15.6" x14ac:dyDescent="0.3">
      <c r="A2272" s="10"/>
      <c r="C2272" s="14"/>
      <c r="D2272" s="14"/>
    </row>
    <row r="2273" spans="1:4" ht="15.6" x14ac:dyDescent="0.3">
      <c r="A2273" s="10"/>
      <c r="C2273" s="14"/>
      <c r="D2273" s="14"/>
    </row>
    <row r="2274" spans="1:4" ht="15.6" x14ac:dyDescent="0.3">
      <c r="A2274" s="10"/>
      <c r="C2274" s="14"/>
      <c r="D2274" s="14"/>
    </row>
    <row r="2275" spans="1:4" ht="15.6" x14ac:dyDescent="0.3">
      <c r="A2275" s="10"/>
      <c r="C2275" s="14"/>
      <c r="D2275" s="14"/>
    </row>
    <row r="2276" spans="1:4" ht="15.6" x14ac:dyDescent="0.3">
      <c r="A2276" s="10"/>
      <c r="C2276" s="14"/>
      <c r="D2276" s="14"/>
    </row>
    <row r="2277" spans="1:4" ht="15.6" x14ac:dyDescent="0.3">
      <c r="A2277" s="10"/>
      <c r="C2277" s="14"/>
      <c r="D2277" s="14"/>
    </row>
    <row r="2278" spans="1:4" ht="15.6" x14ac:dyDescent="0.3">
      <c r="A2278" s="10"/>
      <c r="C2278" s="14"/>
      <c r="D2278" s="14"/>
    </row>
    <row r="2279" spans="1:4" ht="15.6" x14ac:dyDescent="0.3">
      <c r="A2279" s="10"/>
      <c r="C2279" s="14"/>
      <c r="D2279" s="14"/>
    </row>
    <row r="2280" spans="1:4" ht="15.6" x14ac:dyDescent="0.3">
      <c r="A2280" s="10"/>
      <c r="C2280" s="14"/>
      <c r="D2280" s="14"/>
    </row>
    <row r="2281" spans="1:4" ht="15.6" x14ac:dyDescent="0.3">
      <c r="A2281" s="10"/>
      <c r="C2281" s="14"/>
      <c r="D2281" s="14"/>
    </row>
    <row r="2282" spans="1:4" ht="15.6" x14ac:dyDescent="0.3">
      <c r="A2282" s="10"/>
      <c r="C2282" s="14"/>
      <c r="D2282" s="14"/>
    </row>
    <row r="2283" spans="1:4" ht="15.6" x14ac:dyDescent="0.3">
      <c r="A2283" s="10"/>
      <c r="C2283" s="14"/>
      <c r="D2283" s="14"/>
    </row>
    <row r="2284" spans="1:4" ht="15.6" x14ac:dyDescent="0.3">
      <c r="A2284" s="10"/>
      <c r="C2284" s="14"/>
      <c r="D2284" s="14"/>
    </row>
    <row r="2285" spans="1:4" ht="15.6" x14ac:dyDescent="0.3">
      <c r="A2285" s="10"/>
      <c r="C2285" s="14"/>
      <c r="D2285" s="14"/>
    </row>
    <row r="2286" spans="1:4" ht="15.6" x14ac:dyDescent="0.3">
      <c r="A2286" s="10"/>
      <c r="C2286" s="14"/>
      <c r="D2286" s="14"/>
    </row>
    <row r="2287" spans="1:4" ht="15.6" x14ac:dyDescent="0.3">
      <c r="A2287" s="10"/>
      <c r="C2287" s="14"/>
      <c r="D2287" s="14"/>
    </row>
    <row r="2288" spans="1:4" ht="15.6" x14ac:dyDescent="0.3">
      <c r="A2288" s="10"/>
      <c r="C2288" s="14"/>
      <c r="D2288" s="14"/>
    </row>
    <row r="2289" spans="1:4" ht="15.6" x14ac:dyDescent="0.3">
      <c r="A2289" s="10"/>
      <c r="C2289" s="14"/>
      <c r="D2289" s="14"/>
    </row>
    <row r="2290" spans="1:4" ht="15.6" x14ac:dyDescent="0.3">
      <c r="A2290" s="10"/>
      <c r="C2290" s="14"/>
      <c r="D2290" s="14"/>
    </row>
    <row r="2291" spans="1:4" ht="15.6" x14ac:dyDescent="0.3">
      <c r="A2291" s="10"/>
      <c r="C2291" s="14"/>
      <c r="D2291" s="14"/>
    </row>
    <row r="2292" spans="1:4" ht="15.6" x14ac:dyDescent="0.3">
      <c r="A2292" s="10"/>
      <c r="C2292" s="14"/>
      <c r="D2292" s="14"/>
    </row>
    <row r="2293" spans="1:4" ht="15.6" x14ac:dyDescent="0.3">
      <c r="A2293" s="10"/>
      <c r="C2293" s="14"/>
      <c r="D2293" s="14"/>
    </row>
    <row r="2294" spans="1:4" ht="15.6" x14ac:dyDescent="0.3">
      <c r="A2294" s="10"/>
      <c r="C2294" s="14"/>
      <c r="D2294" s="14"/>
    </row>
    <row r="2295" spans="1:4" ht="15.6" x14ac:dyDescent="0.3">
      <c r="A2295" s="10"/>
      <c r="C2295" s="14"/>
      <c r="D2295" s="14"/>
    </row>
    <row r="2296" spans="1:4" ht="15.6" x14ac:dyDescent="0.3">
      <c r="A2296" s="10"/>
      <c r="C2296" s="14"/>
      <c r="D2296" s="14"/>
    </row>
    <row r="2297" spans="1:4" ht="15.6" x14ac:dyDescent="0.3">
      <c r="A2297" s="10"/>
      <c r="C2297" s="14"/>
      <c r="D2297" s="14"/>
    </row>
    <row r="2298" spans="1:4" ht="15.6" x14ac:dyDescent="0.3">
      <c r="A2298" s="10"/>
      <c r="C2298" s="14"/>
      <c r="D2298" s="14"/>
    </row>
    <row r="2299" spans="1:4" ht="16.2" thickBot="1" x14ac:dyDescent="0.35">
      <c r="A2299" s="68"/>
      <c r="C2299" s="69"/>
      <c r="D2299" s="69"/>
    </row>
  </sheetData>
  <autoFilter ref="A1:F2088" xr:uid="{E301FCE5-BE31-4CA5-95B8-757B078A6CE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35C81-1DAD-4C26-956C-1A864BF90320}">
  <dimension ref="A1:B39"/>
  <sheetViews>
    <sheetView workbookViewId="0">
      <selection activeCell="J11" sqref="J11"/>
    </sheetView>
  </sheetViews>
  <sheetFormatPr defaultRowHeight="14.4" x14ac:dyDescent="0.3"/>
  <cols>
    <col min="1" max="1" width="21.77734375" customWidth="1"/>
    <col min="2" max="2" width="12.88671875" customWidth="1"/>
  </cols>
  <sheetData>
    <row r="1" spans="1:2" x14ac:dyDescent="0.3">
      <c r="A1" t="s">
        <v>14</v>
      </c>
      <c r="B1" t="s">
        <v>19</v>
      </c>
    </row>
    <row r="2" spans="1:2" x14ac:dyDescent="0.3">
      <c r="A2" t="s">
        <v>28</v>
      </c>
      <c r="B2">
        <f t="shared" ref="B2:B35" si="0">SUM(B3+1)</f>
        <v>37</v>
      </c>
    </row>
    <row r="3" spans="1:2" x14ac:dyDescent="0.3">
      <c r="A3" t="s">
        <v>29</v>
      </c>
      <c r="B3">
        <f t="shared" si="0"/>
        <v>36</v>
      </c>
    </row>
    <row r="4" spans="1:2" x14ac:dyDescent="0.3">
      <c r="A4" t="s">
        <v>30</v>
      </c>
      <c r="B4">
        <f t="shared" si="0"/>
        <v>35</v>
      </c>
    </row>
    <row r="5" spans="1:2" x14ac:dyDescent="0.3">
      <c r="A5" t="s">
        <v>31</v>
      </c>
      <c r="B5">
        <f t="shared" si="0"/>
        <v>34</v>
      </c>
    </row>
    <row r="6" spans="1:2" x14ac:dyDescent="0.3">
      <c r="A6" t="s">
        <v>32</v>
      </c>
      <c r="B6">
        <f t="shared" si="0"/>
        <v>33</v>
      </c>
    </row>
    <row r="7" spans="1:2" x14ac:dyDescent="0.3">
      <c r="A7" t="s">
        <v>33</v>
      </c>
      <c r="B7">
        <f t="shared" si="0"/>
        <v>32</v>
      </c>
    </row>
    <row r="8" spans="1:2" x14ac:dyDescent="0.3">
      <c r="A8" t="s">
        <v>34</v>
      </c>
      <c r="B8">
        <f t="shared" si="0"/>
        <v>31</v>
      </c>
    </row>
    <row r="9" spans="1:2" x14ac:dyDescent="0.3">
      <c r="A9" t="s">
        <v>35</v>
      </c>
      <c r="B9">
        <f t="shared" si="0"/>
        <v>30</v>
      </c>
    </row>
    <row r="10" spans="1:2" x14ac:dyDescent="0.3">
      <c r="A10" t="s">
        <v>36</v>
      </c>
      <c r="B10">
        <f t="shared" si="0"/>
        <v>29</v>
      </c>
    </row>
    <row r="11" spans="1:2" x14ac:dyDescent="0.3">
      <c r="A11" t="s">
        <v>37</v>
      </c>
      <c r="B11">
        <f t="shared" si="0"/>
        <v>28</v>
      </c>
    </row>
    <row r="12" spans="1:2" x14ac:dyDescent="0.3">
      <c r="A12" t="s">
        <v>38</v>
      </c>
      <c r="B12">
        <f t="shared" si="0"/>
        <v>27</v>
      </c>
    </row>
    <row r="13" spans="1:2" x14ac:dyDescent="0.3">
      <c r="A13" t="s">
        <v>39</v>
      </c>
      <c r="B13">
        <f t="shared" si="0"/>
        <v>26</v>
      </c>
    </row>
    <row r="14" spans="1:2" x14ac:dyDescent="0.3">
      <c r="A14" t="s">
        <v>40</v>
      </c>
      <c r="B14">
        <f t="shared" si="0"/>
        <v>25</v>
      </c>
    </row>
    <row r="15" spans="1:2" x14ac:dyDescent="0.3">
      <c r="A15" t="s">
        <v>41</v>
      </c>
      <c r="B15">
        <f t="shared" si="0"/>
        <v>24</v>
      </c>
    </row>
    <row r="16" spans="1:2" x14ac:dyDescent="0.3">
      <c r="A16" t="s">
        <v>42</v>
      </c>
      <c r="B16">
        <f t="shared" si="0"/>
        <v>23</v>
      </c>
    </row>
    <row r="17" spans="1:2" x14ac:dyDescent="0.3">
      <c r="A17" t="s">
        <v>43</v>
      </c>
      <c r="B17">
        <f t="shared" si="0"/>
        <v>22</v>
      </c>
    </row>
    <row r="18" spans="1:2" x14ac:dyDescent="0.3">
      <c r="A18" t="s">
        <v>44</v>
      </c>
      <c r="B18">
        <f t="shared" si="0"/>
        <v>21</v>
      </c>
    </row>
    <row r="19" spans="1:2" x14ac:dyDescent="0.3">
      <c r="A19" t="s">
        <v>45</v>
      </c>
      <c r="B19">
        <f t="shared" si="0"/>
        <v>20</v>
      </c>
    </row>
    <row r="20" spans="1:2" x14ac:dyDescent="0.3">
      <c r="A20" t="s">
        <v>46</v>
      </c>
      <c r="B20">
        <f t="shared" si="0"/>
        <v>19</v>
      </c>
    </row>
    <row r="21" spans="1:2" x14ac:dyDescent="0.3">
      <c r="A21" t="s">
        <v>47</v>
      </c>
      <c r="B21">
        <f t="shared" si="0"/>
        <v>18</v>
      </c>
    </row>
    <row r="22" spans="1:2" x14ac:dyDescent="0.3">
      <c r="A22" t="s">
        <v>48</v>
      </c>
      <c r="B22">
        <f t="shared" si="0"/>
        <v>17</v>
      </c>
    </row>
    <row r="23" spans="1:2" x14ac:dyDescent="0.3">
      <c r="A23" t="s">
        <v>49</v>
      </c>
      <c r="B23">
        <f t="shared" si="0"/>
        <v>16</v>
      </c>
    </row>
    <row r="24" spans="1:2" x14ac:dyDescent="0.3">
      <c r="A24" t="s">
        <v>50</v>
      </c>
      <c r="B24">
        <f t="shared" si="0"/>
        <v>15</v>
      </c>
    </row>
    <row r="25" spans="1:2" x14ac:dyDescent="0.3">
      <c r="A25" t="s">
        <v>51</v>
      </c>
      <c r="B25">
        <f t="shared" si="0"/>
        <v>14</v>
      </c>
    </row>
    <row r="26" spans="1:2" x14ac:dyDescent="0.3">
      <c r="A26" t="s">
        <v>52</v>
      </c>
      <c r="B26">
        <f t="shared" si="0"/>
        <v>13</v>
      </c>
    </row>
    <row r="27" spans="1:2" x14ac:dyDescent="0.3">
      <c r="A27" t="s">
        <v>53</v>
      </c>
      <c r="B27">
        <f t="shared" si="0"/>
        <v>12</v>
      </c>
    </row>
    <row r="28" spans="1:2" x14ac:dyDescent="0.3">
      <c r="A28" t="s">
        <v>54</v>
      </c>
      <c r="B28">
        <f t="shared" si="0"/>
        <v>11</v>
      </c>
    </row>
    <row r="29" spans="1:2" x14ac:dyDescent="0.3">
      <c r="A29" t="s">
        <v>55</v>
      </c>
      <c r="B29">
        <f t="shared" si="0"/>
        <v>10</v>
      </c>
    </row>
    <row r="30" spans="1:2" x14ac:dyDescent="0.3">
      <c r="A30" t="s">
        <v>56</v>
      </c>
      <c r="B30">
        <f t="shared" si="0"/>
        <v>9</v>
      </c>
    </row>
    <row r="31" spans="1:2" x14ac:dyDescent="0.3">
      <c r="A31" t="s">
        <v>57</v>
      </c>
      <c r="B31">
        <f t="shared" si="0"/>
        <v>8</v>
      </c>
    </row>
    <row r="32" spans="1:2" x14ac:dyDescent="0.3">
      <c r="A32" t="s">
        <v>58</v>
      </c>
      <c r="B32">
        <f t="shared" si="0"/>
        <v>7</v>
      </c>
    </row>
    <row r="33" spans="1:2" x14ac:dyDescent="0.3">
      <c r="A33" t="s">
        <v>59</v>
      </c>
      <c r="B33">
        <f t="shared" si="0"/>
        <v>6</v>
      </c>
    </row>
    <row r="34" spans="1:2" x14ac:dyDescent="0.3">
      <c r="A34" t="s">
        <v>60</v>
      </c>
      <c r="B34">
        <f t="shared" si="0"/>
        <v>5</v>
      </c>
    </row>
    <row r="35" spans="1:2" x14ac:dyDescent="0.3">
      <c r="A35" t="s">
        <v>61</v>
      </c>
      <c r="B35">
        <f t="shared" si="0"/>
        <v>4</v>
      </c>
    </row>
    <row r="36" spans="1:2" x14ac:dyDescent="0.3">
      <c r="A36" t="s">
        <v>62</v>
      </c>
      <c r="B36">
        <f>SUM(B37+1)</f>
        <v>3</v>
      </c>
    </row>
    <row r="37" spans="1:2" x14ac:dyDescent="0.3">
      <c r="A37" t="s">
        <v>63</v>
      </c>
      <c r="B37">
        <f>SUM(B38+1)</f>
        <v>2</v>
      </c>
    </row>
    <row r="38" spans="1:2" x14ac:dyDescent="0.3">
      <c r="A38" t="s">
        <v>64</v>
      </c>
      <c r="B38">
        <f>SUM(B39+1)</f>
        <v>1</v>
      </c>
    </row>
    <row r="39" spans="1:2" x14ac:dyDescent="0.3">
      <c r="A39" t="s">
        <v>15</v>
      </c>
      <c r="B39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Test_Sheet</vt:lpstr>
      <vt:lpstr>DDoc Number</vt:lpstr>
      <vt:lpstr>DDoc Number Order</vt:lpstr>
      <vt:lpstr>Data To Use</vt:lpstr>
      <vt:lpstr>Data To Use Order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NG FROM.TP (VITAL)</dc:creator>
  <cp:lastModifiedBy>Keith Ng</cp:lastModifiedBy>
  <dcterms:created xsi:type="dcterms:W3CDTF">2023-07-24T08:38:15Z</dcterms:created>
  <dcterms:modified xsi:type="dcterms:W3CDTF">2026-05-30T09:53:18Z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4803508-8490-4252-b331-d9b72689e942_Enabled">
    <vt:lpwstr>true</vt:lpwstr>
  </property>
  <property fmtid="{D5CDD505-2E9C-101B-9397-08002B2CF9AE}" pid="3" name="MSIP_Label_54803508-8490-4252-b331-d9b72689e942_SetDate">
    <vt:lpwstr>2023-07-24T08:38:22Z</vt:lpwstr>
  </property>
  <property fmtid="{D5CDD505-2E9C-101B-9397-08002B2CF9AE}" pid="4" name="MSIP_Label_54803508-8490-4252-b331-d9b72689e942_Method">
    <vt:lpwstr>Privileged</vt:lpwstr>
  </property>
  <property fmtid="{D5CDD505-2E9C-101B-9397-08002B2CF9AE}" pid="5" name="MSIP_Label_54803508-8490-4252-b331-d9b72689e942_Name">
    <vt:lpwstr>Non Sensitive_0</vt:lpwstr>
  </property>
  <property fmtid="{D5CDD505-2E9C-101B-9397-08002B2CF9AE}" pid="6" name="MSIP_Label_54803508-8490-4252-b331-d9b72689e942_SiteId">
    <vt:lpwstr>0b11c524-9a1c-4e1b-84cb-6336aefc2243</vt:lpwstr>
  </property>
  <property fmtid="{D5CDD505-2E9C-101B-9397-08002B2CF9AE}" pid="7" name="MSIP_Label_54803508-8490-4252-b331-d9b72689e942_ActionId">
    <vt:lpwstr>f8774bd8-c6ea-48cb-9332-41c0df152243</vt:lpwstr>
  </property>
  <property fmtid="{D5CDD505-2E9C-101B-9397-08002B2CF9AE}" pid="8" name="MSIP_Label_54803508-8490-4252-b331-d9b72689e942_ContentBits">
    <vt:lpwstr>0</vt:lpwstr>
  </property>
</Properties>
</file>